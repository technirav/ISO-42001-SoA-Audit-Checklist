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nirav/Downloads/"/>
    </mc:Choice>
  </mc:AlternateContent>
  <xr:revisionPtr revIDLastSave="0" documentId="13_ncr:1_{76A1A771-E0FA-BD4A-8418-BE85520B355D}" xr6:coauthVersionLast="47" xr6:coauthVersionMax="47" xr10:uidLastSave="{00000000-0000-0000-0000-000000000000}"/>
  <bookViews>
    <workbookView xWindow="0" yWindow="680" windowWidth="30240" windowHeight="17160" tabRatio="500" xr2:uid="{00000000-000D-0000-FFFF-FFFF00000000}"/>
  </bookViews>
  <sheets>
    <sheet name="📋 Summary" sheetId="1" r:id="rId1"/>
    <sheet name="🔍 Controls Checklist" sheetId="3" r:id="rId2"/>
    <sheet name="📊 Dashboard" sheetId="2"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2" i="2" l="1"/>
  <c r="H21" i="2"/>
  <c r="G21" i="2"/>
  <c r="F21" i="2"/>
  <c r="E21" i="2"/>
  <c r="D21" i="2"/>
  <c r="H20" i="2"/>
  <c r="G20" i="2"/>
  <c r="F20" i="2"/>
  <c r="E20" i="2"/>
  <c r="D20" i="2"/>
  <c r="H19" i="2"/>
  <c r="G19" i="2"/>
  <c r="F19" i="2"/>
  <c r="E19" i="2"/>
  <c r="D19" i="2"/>
  <c r="H18" i="2"/>
  <c r="G18" i="2"/>
  <c r="F18" i="2"/>
  <c r="E18" i="2"/>
  <c r="D18" i="2"/>
  <c r="H17" i="2"/>
  <c r="G17" i="2"/>
  <c r="F17" i="2"/>
  <c r="E17" i="2"/>
  <c r="D17" i="2"/>
  <c r="H16" i="2"/>
  <c r="G16" i="2"/>
  <c r="F16" i="2"/>
  <c r="E16" i="2"/>
  <c r="D16" i="2"/>
  <c r="H15" i="2"/>
  <c r="G15" i="2"/>
  <c r="F15" i="2"/>
  <c r="E15" i="2"/>
  <c r="D15" i="2"/>
  <c r="H14" i="2"/>
  <c r="G14" i="2"/>
  <c r="F14" i="2"/>
  <c r="E14" i="2"/>
  <c r="D14" i="2"/>
  <c r="I14" i="2" s="1"/>
  <c r="H13" i="2"/>
  <c r="G13" i="2"/>
  <c r="F13" i="2"/>
  <c r="E13" i="2"/>
  <c r="D13" i="2"/>
  <c r="E9" i="2"/>
  <c r="I22" i="2" s="1"/>
  <c r="G5" i="2"/>
  <c r="F5" i="2"/>
  <c r="E5" i="2"/>
  <c r="D5" i="2"/>
  <c r="C5" i="2"/>
  <c r="B5" i="2"/>
  <c r="I15" i="2" l="1"/>
  <c r="I17" i="2"/>
  <c r="I21" i="2"/>
  <c r="I20" i="2"/>
  <c r="F22" i="2"/>
  <c r="H22" i="2"/>
  <c r="I18" i="2"/>
  <c r="D22" i="2"/>
  <c r="G22" i="2"/>
  <c r="E22" i="2"/>
  <c r="I16" i="2"/>
  <c r="I19" i="2"/>
  <c r="I13" i="2"/>
</calcChain>
</file>

<file path=xl/sharedStrings.xml><?xml version="1.0" encoding="utf-8"?>
<sst xmlns="http://schemas.openxmlformats.org/spreadsheetml/2006/main" count="484" uniqueCount="325">
  <si>
    <t>ISO/IEC 42001:2023
AI Management System
Statement of Applicability — Control Checklist</t>
  </si>
  <si>
    <t>Document Title</t>
  </si>
  <si>
    <t>ISO 42001:2023 SoA Control Checklist — All 38 Annex A Controls</t>
  </si>
  <si>
    <t>Version</t>
  </si>
  <si>
    <t>Release Date</t>
  </si>
  <si>
    <t>16 May 2026</t>
  </si>
  <si>
    <t>Prepared By</t>
  </si>
  <si>
    <t>Status</t>
  </si>
  <si>
    <t>Standard</t>
  </si>
  <si>
    <t>ISO/IEC 42001:2023 — AI Management Systems</t>
  </si>
  <si>
    <t>Classification</t>
  </si>
  <si>
    <t>Open Source – Educational Use Only (CC BY 4.0)</t>
  </si>
  <si>
    <t xml:space="preserve">  ▌ Purpose of This Checklist</t>
  </si>
  <si>
    <t>This checklist provides a clause-by-clause review of all 38 controls defined in Annex A of ISO/IEC 42001:2023 — the world's first international standard for AI Management Systems (AIMS). It is designed to support internal audit teams, GRC professionals, DPOs, AI ethics leads, and compliance officers in assessing the maturity and conformity of their AI governance frameworks. Each control is mapped to its Annex A reference, written in plain English, supported by auditor-facing requirements, and accompanied by evidence examples to guide effectiveness testing.</t>
  </si>
  <si>
    <t xml:space="preserve">  ▌ Control Coverage — All 38 Annex A Controls</t>
  </si>
  <si>
    <t>Domain / Control Objective</t>
  </si>
  <si>
    <t>Count → Controls</t>
  </si>
  <si>
    <t>A.2 – Policies Related to AI  (3 controls)</t>
  </si>
  <si>
    <t>A.2.2, A.2.3, A.2.4</t>
  </si>
  <si>
    <t>A.3 – Internal Organisation  (2 controls)</t>
  </si>
  <si>
    <t>A.3.2, A.3.3</t>
  </si>
  <si>
    <t>A.4 – Resources for AI Systems  (5 controls)</t>
  </si>
  <si>
    <t>A.4.2 – A.4.6</t>
  </si>
  <si>
    <t>A.5 – Assessing Impacts of AI Systems  (4 controls)</t>
  </si>
  <si>
    <t>A.5.2 – A.5.5</t>
  </si>
  <si>
    <t>A.6 – AI System Life Cycle  (9 controls)</t>
  </si>
  <si>
    <t>A.6.1.2, A.6.1.3, A.6.2.2 – A.6.2.8</t>
  </si>
  <si>
    <t>A.7 – Data for AI Systems  (5 controls)</t>
  </si>
  <si>
    <t>A.7.2 – A.7.6</t>
  </si>
  <si>
    <t>A.8 – Information for Interested Parties  (4 controls)</t>
  </si>
  <si>
    <t>A.8.2 – A.8.5</t>
  </si>
  <si>
    <t>A.9 – Use of AI Systems  (3 controls)</t>
  </si>
  <si>
    <t>A.9.2, A.9.3, A.9.4</t>
  </si>
  <si>
    <t>A.10 – Third-Party &amp; Customer Relationships  (3 controls)</t>
  </si>
  <si>
    <t>A.10.2, A.10.3, A.10.4</t>
  </si>
  <si>
    <t xml:space="preserve">  ▌ How to Use This Checklist</t>
  </si>
  <si>
    <t>1. CONTROLS TAB — Work through each of the 38 controls. Assign an owner, mark applicability, record evidence reviewed, and select a conformity status from the dropdown.</t>
  </si>
  <si>
    <t>2. DASHBOARD TAB — Refreshes automatically as you update the Controls tab. Use it for management briefings, audit presentations, and GRC reporting.</t>
  </si>
  <si>
    <t>3. Non-applicable controls — Must include written justification in the Applicability column.</t>
  </si>
  <si>
    <t>4. Review cycle — This checklist should be reviewed annually or following a significant change to AI systems, organisational structure, or regulatory requirements.</t>
  </si>
  <si>
    <t>5. Auditor comments — Should be factual, objective, and cite specific evidence reviewed.</t>
  </si>
  <si>
    <t xml:space="preserve">  ▌ Conformity Status Definitions</t>
  </si>
  <si>
    <t>Conformity</t>
  </si>
  <si>
    <t>Control is fully implemented, documented, and operating effectively. Evidence confirms it meets ISO 42001 intent.</t>
  </si>
  <si>
    <t>Partial Conformity</t>
  </si>
  <si>
    <t>Control is partially implemented. Key elements exist but gaps remain in documentation, scope, or effectiveness.</t>
  </si>
  <si>
    <t>Non-Conformity</t>
  </si>
  <si>
    <t>Control is absent, ineffective, or materially deviates from the standard. Corrective action is required.</t>
  </si>
  <si>
    <t>Not Applicable</t>
  </si>
  <si>
    <t>Control formally excluded with documented justification based on the organisation's AI scope.</t>
  </si>
  <si>
    <t>Not Assessed</t>
  </si>
  <si>
    <t>Control has not yet been reviewed. Default status — should be updated during the audit process.</t>
  </si>
  <si>
    <t xml:space="preserve">  ▌ ⚠  Legal Disclaimer</t>
  </si>
  <si>
    <t>DISCLAIMER — EDUCATIONAL USE ONLY
This checklist is an independent, open-source educational resource shared freely on LinkedIn and associated platforms under Creative Commons Attribution 4.0 International (CC BY 4.0). Attribution is required when redistributing or adapting this work.
This document is provided 'as is', without warranty of any kind, express or implied. The author makes no representations regarding the accuracy, completeness, suitability, or fitness of this checklist for any particular purpose. It does not constitute legal, regulatory, or professional certification advice, and is not a substitute for obtaining the official ISO/IEC 42001:2023 standard from ISO or your national standards body, nor for engaging qualified auditors, legal counsel, or certified ISO 42001 practitioners.
The author accepts no liability whatsoever for any loss, damage, regulatory outcome, or consequence arising from the use or misuse of this document. Users are solely responsible for verifying accuracy against the official standard and for its application within their organisational context.
Control descriptions have been written by the author in plain English and do not reproduce verbatim text from ISO/IEC 42001:2023, in compliance with ISO copyright guidelines. ISO® is a registered trademark of the International Organization for Standardization.
© Author — Released under CC BY 4.0. Please attribute the author when sharing.</t>
  </si>
  <si>
    <t>ISO/IEC 42001:2023 — AI Management System Audit Dashboard  |  38 Annex A Controls</t>
  </si>
  <si>
    <t>Total Controls</t>
  </si>
  <si>
    <t>Overall Compliance Score</t>
  </si>
  <si>
    <t>Domain</t>
  </si>
  <si>
    <t>Total</t>
  </si>
  <si>
    <t>Partial
Conformity</t>
  </si>
  <si>
    <t>Non-
Conformity</t>
  </si>
  <si>
    <t>Not
Applicable</t>
  </si>
  <si>
    <t>Not
Assessed</t>
  </si>
  <si>
    <t>% Compliant</t>
  </si>
  <si>
    <t>A.2 – Policies Related to AI</t>
  </si>
  <si>
    <t>A.3 – Internal Organisation</t>
  </si>
  <si>
    <t>A.4 – Resources for AI Systems</t>
  </si>
  <si>
    <t>A.5 – Assessing Impacts of AI Systems</t>
  </si>
  <si>
    <t>A.6 – AI System Life Cycle</t>
  </si>
  <si>
    <t>A.7 – Data for AI Systems</t>
  </si>
  <si>
    <t>A.8 – Information for Interested Parties</t>
  </si>
  <si>
    <t>A.9 – Use of AI Systems</t>
  </si>
  <si>
    <t>A.10 – Third-Party &amp; Customer Relationships</t>
  </si>
  <si>
    <t>TOTAL (38 Controls)</t>
  </si>
  <si>
    <t xml:space="preserve">  Conformity Legend</t>
  </si>
  <si>
    <t xml:space="preserve">  Conformity</t>
  </si>
  <si>
    <t xml:space="preserve">  Partial Conformity</t>
  </si>
  <si>
    <t xml:space="preserve">  Non-Conformity</t>
  </si>
  <si>
    <t xml:space="preserve">  Not Applicable</t>
  </si>
  <si>
    <t xml:space="preserve">  Not Assessed</t>
  </si>
  <si>
    <t>ℹ  Note: Compliance Score = (Conformity + 0.5 × Partial Conformity) ÷ Applicable Controls.  Not Applicable controls are excluded from the denominator.  This dashboard covers all 38 ISO/IEC 42001:2023 Annex A controls.  Update conformity status in the '🔍 Controls Checklist' tab to refresh automatically.</t>
  </si>
  <si>
    <t>ISO/IEC 42001:2023  |  AI Management System — Statement of Applicability (SoA) Control Checklist  |  38 Annex A Controls</t>
  </si>
  <si>
    <t>Control
Number</t>
  </si>
  <si>
    <t>Control Name</t>
  </si>
  <si>
    <t>Control Description
(Plain English)</t>
  </si>
  <si>
    <t>Control Requirement
(Auditor Expectation)</t>
  </si>
  <si>
    <t>Mandatory /
Conditional</t>
  </si>
  <si>
    <t>Control Owner
(Team / Role)</t>
  </si>
  <si>
    <t>Control Applicability
(Yes / No / N/A + Justification)</t>
  </si>
  <si>
    <t>Evidence &amp; Sample Examples
Required for Effectiveness Testing</t>
  </si>
  <si>
    <t>Conformity
Status</t>
  </si>
  <si>
    <t>Auditor
Comments</t>
  </si>
  <si>
    <t>A.2.2</t>
  </si>
  <si>
    <t>AI Policy</t>
  </si>
  <si>
    <t>The organisation should create and maintain a written policy that sets out how it develops, procures, and uses AI systems. The policy must be approved by the appropriate management level and communicate the organisation's commitment to responsible, ethical, and lawful AI across all relevant activities and teams.</t>
  </si>
  <si>
    <t>Auditor will verify: (1) A Board- or Executive-approved AI policy exists. (2) The policy covers the scope of all AI activities. (3) It references accountability structures, responsible AI principles (fairness, transparency, accountability, safety). (4) It has been formally communicated to all relevant personnel with evidence of receipt.</t>
  </si>
  <si>
    <t>Mandatory</t>
  </si>
  <si>
    <t>AI Governance / Legal &amp; Compliance</t>
  </si>
  <si>
    <t>Yes – Applicable</t>
  </si>
  <si>
    <t>1. Approved AI policy document (version-controlled, signed-off by senior management).
2. Distribution records (intranet publication, all-staff email, training acknowledgements).
3. Annual policy review log with change history.
4. Mapping of AI policy to organisational AI objectives and ethics framework.</t>
  </si>
  <si>
    <t>A.2.3</t>
  </si>
  <si>
    <t>Alignment with Other Organisational Policies</t>
  </si>
  <si>
    <t>The organisation should identify which existing policies — such as information security, data protection, HR, ethics, risk, and procurement policies — intersect with its AI activities, and ensure the AI policy is consistent with those policies. Where conflicts exist, the other policies should be updated rather than creating contradictory guidance.</t>
  </si>
  <si>
    <t>Auditor will look for: (1) A documented cross-reference or mapping between the AI policy and other relevant policies. (2) Evidence that policy owners have reviewed and updated related policies to reflect AI considerations. (3) No material conflicts between the AI policy and other active organisational policies.</t>
  </si>
  <si>
    <t>AI Governance / Legal &amp; Compliance / HR</t>
  </si>
  <si>
    <t>1. Policy cross-reference matrix linking AI policy to information security, privacy, ethics, and HR policies.
2. Updated versions of related policies with AI-specific amendments.
3. Meeting minutes or sign-offs from policy owners confirming alignment review.
4. Gap analysis record where inconsistencies were found and resolved.</t>
  </si>
  <si>
    <t>A.2.4</t>
  </si>
  <si>
    <t>Review of the AI Policy</t>
  </si>
  <si>
    <t>The organisation should review its AI policy at planned intervals — and whenever a significant change occurs (new regulation, new AI use case, major incident, or organisational restructure) — to confirm the policy remains fit for purpose, current, and supported by top management.</t>
  </si>
  <si>
    <t>Auditor will verify: (1) A defined review cycle (minimum annual) exists in the policy itself. (2) Evidence of at least one completed review with documented outcomes. (3) Triggers for unplanned reviews are defined. (4) Any resulting policy updates were formally approved and re-communicated.</t>
  </si>
  <si>
    <t>1. Policy review schedule and review log showing dates, participants, and outcomes.
2. Version history of the AI policy with change commentary.
3. Evidence of management sign-off on updated policy versions.
4. Records of out-of-cycle review triggered by regulatory change or AI incident.</t>
  </si>
  <si>
    <t>A.3.2</t>
  </si>
  <si>
    <t>AI Roles and Responsibilities</t>
  </si>
  <si>
    <t>The organisation should clearly define and document who is accountable and responsible for AI-related activities across the full life cycle — covering risk management, impact assessment, development, oversight, data quality, security, and supplier management. Every AI activity should have an owner, with no accountability gaps.</t>
  </si>
  <si>
    <t>Auditor will check: (1) A RACI or equivalent accountability matrix for AI governance roles. (2) Designated AI system owners for each in-scope system. (3) An AI ethics or governance committee or equivalent with defined terms of reference. (4) Roles integrated into job descriptions and performance objectives.</t>
  </si>
  <si>
    <t>HR / AI Governance Committee</t>
  </si>
  <si>
    <t>1. RACI matrix covering all AI governance and operational roles.
2. AI system ownership register with named individuals and their scope.
3. Terms of reference for the AI governance committee.
4. Job descriptions reflecting AI accountability where relevant.
5. Organisational chart showing AI accountability lines.</t>
  </si>
  <si>
    <t>A.3.3</t>
  </si>
  <si>
    <t>Reporting of Concerns</t>
  </si>
  <si>
    <t>The organisation should provide a formal channel — confidential and anonymous where appropriate — through which staff, contractors, and external parties can raise concerns about how AI systems are developed, used, or governed. The channel should have defined investigation and escalation procedures and protect reporters from retaliation.</t>
  </si>
  <si>
    <t>Auditor will verify: (1) A documented concerns-reporting channel specific to AI exists. (2) The process includes anonymity protections and non-retaliation safeguards. (3) Concerns are logged, investigated, and escalated appropriately. (4) All staff and relevant contractors are aware of the channel.</t>
  </si>
  <si>
    <t>AI Governance / HR / Ethics &amp; Compliance</t>
  </si>
  <si>
    <t>1. AI concerns reporting procedure or policy.
2. Awareness communication records (intranet, training, onboarding materials).
3. Concerns log (anonymised) showing submissions, investigations, and outcomes.
4. Non-retaliation policy with reference to AI reporting.
5. Evidence of escalation to senior management or board where appropriate.</t>
  </si>
  <si>
    <t>A.4.2</t>
  </si>
  <si>
    <t>Resource Documentation</t>
  </si>
  <si>
    <t>The organisation should build and maintain a comprehensive inventory of all resources its AI systems rely on at each life cycle stage — covering data, tools, infrastructure, and people. Clear resource visibility enables effective risk assessment, impact assessment, incident response, and supply-chain risk management.</t>
  </si>
  <si>
    <t>Auditor will look for: (1) A maintained AI resource register covering all in-scope systems. (2) Resources categorised by type (data, tooling, compute, human). (3) Evidence the register is kept current and subject to change control. (4) Links from the resource register to related risk and impact assessments.</t>
  </si>
  <si>
    <t>AI Engineering / Data Governance / IT</t>
  </si>
  <si>
    <t>1. AI resource inventory or register document with version control.
2. Asset management records for AI-related infrastructure.
3. Change log demonstrating the register is actively maintained.
4. Process documentation for updating the inventory when new systems are introduced.</t>
  </si>
  <si>
    <t>A.4.3</t>
  </si>
  <si>
    <t>Data Resources</t>
  </si>
  <si>
    <t>The organisation should record details of every dataset used by each AI system — including provenance, categories (training, validation, test, production), labelling processes, intended purpose, known quality issues, retention periods, and any known bias concerns. This record supports accountability and auditability of data-driven AI decisions.</t>
  </si>
  <si>
    <t>Auditor will look for: (1) A data inventory or catalogue covering all AI datasets. (2) Metadata for each dataset (source, date, category, quality rating, bias flags). (3) Evidence of data lineage tracing. (4) Legal basis or consent records where personal data is used.</t>
  </si>
  <si>
    <t>Data Governance / Data Engineering</t>
  </si>
  <si>
    <t>1. AI data catalogue or data inventory with per-dataset metadata.
2. Data lineage diagrams or tool outputs (e.g. dbt, Apache Atlas).
3. Dataset cards or data sheets describing purpose, contents, and known limitations.
4. Legal basis documentation or consent records for personal data in AI training sets.</t>
  </si>
  <si>
    <t>A.4.4</t>
  </si>
  <si>
    <t>Tooling Resources</t>
  </si>
  <si>
    <t>The organisation should document the algorithms, machine learning models, frameworks, libraries, optimisation and evaluation methods, and provisioning tools its AI systems depend on. This record enables reproducibility of results, vulnerability management, and assessment of supply-chain risk from third-party AI components.</t>
  </si>
  <si>
    <t>Auditor will verify: (1) An AI tooling inventory exists and covers all in-scope systems. (2) Versions, licenses, and vendors are recorded. (3) Known vulnerabilities are tracked and patch status is documented. (4) Dependency risk for critical third-party tools is assessed.</t>
  </si>
  <si>
    <t>AI Engineering / Security / Procurement</t>
  </si>
  <si>
    <t>1. AI tooling inventory with model names, frameworks, library versions, and vendor details.
2. Software license register for AI tooling.
3. Vulnerability scan outputs or SBOMs (Software Bill of Materials) for AI components.
4. Patch management records for AI tools and libraries.</t>
  </si>
  <si>
    <t>A.4.5</t>
  </si>
  <si>
    <t>System and Computing Resources</t>
  </si>
  <si>
    <t>The organisation should record the computing, storage, networking, and hosting environments (on-premises, cloud, or edge) that each AI system relies on — including capacity constraints, environmental impact considerations, and any network or storage dependencies that could affect reliability or security.</t>
  </si>
  <si>
    <t>Auditor will check: (1) Infrastructure records for AI workloads (compute, storage, network). (2) Cloud or hosting provider documentation and SLAs. (3) Capacity planning records. (4) Environmental impact or sustainability considerations documented.</t>
  </si>
  <si>
    <t>IT Infrastructure / Cloud Operations / AI Engineering</t>
  </si>
  <si>
    <t>1. AI infrastructure inventory listing compute, storage, and network resources per system.
2. Cloud provider agreements and service level agreements (SLAs).
3. Capacity planning and scaling records for AI workloads.
4. Environmental or sustainability records (energy consumption, carbon footprint estimates).</t>
  </si>
  <si>
    <t>A.4.6</t>
  </si>
  <si>
    <t>Human Resources</t>
  </si>
  <si>
    <t>The organisation should record the people and competencies involved across every phase of an AI system's life — including developers, operators, domain experts, testers, oversight roles, and those responsible for change management, handover, and decommissioning. This record supports competency gap analysis and succession planning.</t>
  </si>
  <si>
    <t>Auditor will look for: (1) A human resource register for each AI system listing key roles and competency requirements. (2) Evidence of skills assessment against those requirements. (3) Training and development plans for identified gaps. (4) Succession or cover arrangements for critical AI roles.</t>
  </si>
  <si>
    <t>HR / AI Engineering Leads</t>
  </si>
  <si>
    <t>1. AI human resources register listing roles, names, and competency requirements per system.
2. Skills matrix or competency framework for AI roles.
3. Training completion records and qualifications held.
4. Succession plan or cover arrangements for critical AI governance and engineering roles.</t>
  </si>
  <si>
    <t>A.5.2</t>
  </si>
  <si>
    <t>AI System Impact Assessment Process</t>
  </si>
  <si>
    <t>The organisation should establish a repeatable, structured process for assessing how AI systems could affect people and wider society — both positively and negatively. The process should define what triggers an assessment, what it covers, who performs it, and how outputs feed into design, deployment, and review decisions.</t>
  </si>
  <si>
    <t>Auditor will look for: (1) A documented AI system impact assessment (AISIA) methodology. (2) Defined triggers (e.g. new AI system, major change, periodic review). (3) Evidence the process is applied consistently across AI systems. (4) Clear links between assessment outputs and risk treatment decisions.</t>
  </si>
  <si>
    <t>Risk &amp; Compliance / AI Ethics Team</t>
  </si>
  <si>
    <t>1. AI System Impact Assessment (AISIA) methodology or procedure.
2. Assessment trigger criteria and scheduling records.
3. Completed AISIAs for each in-scope AI system.
4. Risk register entries derived from impact assessments.
5. Evidence of periodic reassessment (e.g. post-deployment, post-incident).</t>
  </si>
  <si>
    <t>A.5.3</t>
  </si>
  <si>
    <t>Documentation of AI System Impact Assessments</t>
  </si>
  <si>
    <t>The organisation should maintain written records of each AI system impact assessment, capturing the intended use, foreseeable misuse scenarios, predictable failures and mitigations, affected demographic groups, and human oversight arrangements. Records should be retained for a defined period to support audit, incident review, and change management.</t>
  </si>
  <si>
    <t>Auditor will review: (1) Assessment reports for all in-scope AI systems. (2) Records covering intended use, misuse, failure modes, and mitigations. (3) A defined retention period for assessment records. (4) Evidence records are updated following changes to the AI system.</t>
  </si>
  <si>
    <t>Risk &amp; Compliance / AI Governance</t>
  </si>
  <si>
    <t>1. Completed AISIA reports with sections covering intended use, misuse, and failure modes.
2. Document retention policy specifying retention period for AISIA records.
3. Change log showing AISIAs updated when AI systems changed materially.
4. Access-controlled repository for AISIA records with version history.</t>
  </si>
  <si>
    <t>A.5.4</t>
  </si>
  <si>
    <t>Assessing AI System Impacts on Individuals or Groups</t>
  </si>
  <si>
    <t>The organisation should specifically assess how each AI system could affect individual people or specific groups — considering fairness, accountability, transparency, privacy, safety, health, accessibility, financial consequences, and human rights. Special attention should be given to children, the elderly, workers, and other groups with heightened protection needs.</t>
  </si>
  <si>
    <t>Auditor will verify: (1) Impact assessments contain a specific section on individual and group-level impacts. (2) Fairness, discrimination, and accessibility risks are explicitly assessed. (3) Affected groups are identified and proportionate mitigations documented. (4) Data protection impact assessment (DPIA) integration where personal data is involved.</t>
  </si>
  <si>
    <t>Risk &amp; Compliance / Privacy / AI Ethics</t>
  </si>
  <si>
    <t>1. AISIA sections addressing individual and group-level impacts with named affected groups.
2. Fairness and bias testing results for AI outputs affecting individuals.
3. Completed DPIAs where personal data is processed in AI systems.
4. Accessibility assessments for AI systems used by or affecting individuals.
5. Child or vulnerable-user risk assessments where applicable.</t>
  </si>
  <si>
    <t>A.5.5</t>
  </si>
  <si>
    <t>Assessing Societal Impacts of AI Systems</t>
  </si>
  <si>
    <t>Beyond direct users, the organisation should assess broader societal impacts of its AI systems — including environmental footprint, economic effects, influence on democratic and government processes, public health and safety, cultural and ethical implications, and the potential for deliberate misuse or reinforcement of historical bias at scale.</t>
  </si>
  <si>
    <t>Auditor will look for: (1) AISIA sections addressing macro-level and societal impacts. (2) Environmental impact considerations (energy use, carbon footprint). (3) Assessment of potential for misuse or societal harm. (4) Escalation path where significant societal risks are identified.</t>
  </si>
  <si>
    <t>AI Ethics / Risk &amp; Compliance / Sustainability</t>
  </si>
  <si>
    <t>1. AISIA sections dedicated to societal impact analysis.
2. Environmental impact estimates (energy/compute consumption, carbon footprint).
3. Deliberate misuse scenario analysis within AISIA records.
4. Records of escalation to senior leadership for high societal-risk AI systems.
5. Stakeholder consultation records where societal impacts were discussed.</t>
  </si>
  <si>
    <t>A.6.1.2</t>
  </si>
  <si>
    <t>Objectives for Responsible AI System Development</t>
  </si>
  <si>
    <t>Management should set clear, measurable objectives for responsible AI development — covering fairness, transparency, robustness, privacy, and safety — and embed these as design inputs with accountable outcomes, not merely aspirational statements. These objectives should align with the organisational AI policy and relevant regulatory requirements.</t>
  </si>
  <si>
    <t>Auditor will look for: (1) Documented responsible-development objectives per AI system or programme. (2) Objectives linked to measurable criteria (KPIs, acceptance thresholds). (3) Evidence objectives are reviewed and updated at each life cycle stage. (4) Accountability assigned for each objective.</t>
  </si>
  <si>
    <t>AI Governance / Product Management / AI Engineering</t>
  </si>
  <si>
    <t>1. Responsible AI development objectives register with measurable criteria per system.
2. Design documents referencing responsible AI objectives as input requirements.
3. Periodic review records confirming objectives remain valid.
4. Ownership assignments for each objective within AI teams.</t>
  </si>
  <si>
    <t>A.6.1.3</t>
  </si>
  <si>
    <t>Processes for Responsible Design and Development</t>
  </si>
  <si>
    <t>The organisation should document the specific steps it follows to design and build AI systems responsibly — covering life cycle stages, testing requirements, human oversight points, training data rules, release criteria, approvals, change control processes, and how affected parties are engaged during development.</t>
  </si>
  <si>
    <t>Auditor will check: (1) A documented AI development process or methodology. (2) Stage-gate reviews at critical life cycle phases with defined entry/exit criteria. (3) Responsible AI checkpoints embedded in the development workflow. (4) Evidence the process is followed consistently and deviations are recorded.</t>
  </si>
  <si>
    <t>AI Engineering / Product Management</t>
  </si>
  <si>
    <t>1. AI development methodology or SDLC documentation with responsible AI checkpoints.
2. Stage-gate review records for AI system development projects.
3. Change control records for AI systems in development.
4. Stakeholder engagement records during design and development phases.</t>
  </si>
  <si>
    <t>A.6.2.2</t>
  </si>
  <si>
    <t>AI System Requirements and Specification</t>
  </si>
  <si>
    <t>Before building or significantly modifying an AI system, the organisation should capture functional, non-functional, and responsible AI requirements — including risk and impact assessment requirements — document the rationale for the system, and maintain requirements under change control as the system evolves.</t>
  </si>
  <si>
    <t>Auditor will review: (1) Requirements specifications for AI systems under development. (2) Evidence that responsible AI and risk requirements are explicitly included. (3) Traceability between requirements and design decisions. (4) Change control records demonstrating requirements management.</t>
  </si>
  <si>
    <t>1. AI system requirements specification documents with responsible AI requirements included.
2. Traceability matrix linking requirements to design and test artefacts.
3. Requirements change log with impact assessment for each change.
4. Sign-off records from stakeholders confirming requirements approval.</t>
  </si>
  <si>
    <t>A.6.2.3</t>
  </si>
  <si>
    <t>Documentation of AI System Design and Development</t>
  </si>
  <si>
    <t>The organisation should maintain a traceable record of design decisions — including ML approach, learning algorithms, data quality assumptions, hardware and software components, security threat considerations, user interface, human interaction, and interoperability — tied back to requirements so the system can be explained and audited.</t>
  </si>
  <si>
    <t>Auditor will expect: (1) Design documentation covering architecture, model approach, data inputs, and security. (2) Traceability from design decisions back to requirements. (3) Documentation of key trade-offs made during design. (4) Records updated when design changes occur.</t>
  </si>
  <si>
    <t>AI Engineering / Architecture</t>
  </si>
  <si>
    <t>1. AI system architecture and design documents.
2. Model selection rationale records (why a particular ML approach was chosen).
3. Design decision log capturing key trade-offs and their justifications.
4. Updated design documentation following material changes to the AI system.</t>
  </si>
  <si>
    <t>A.6.2.4</t>
  </si>
  <si>
    <t>AI System Verification and Validation</t>
  </si>
  <si>
    <t>The organisation should define and execute processes to verify (was the system built correctly?) and validate (does it do what it was intended to do?) each AI system before release. This includes defining testing methodologies, selecting test data, setting release-criteria thresholds, and documenting results.</t>
  </si>
  <si>
    <t>Auditor will look for: (1) A V&amp;V plan for each AI system. (2) Test results covering functional, performance, fairness, and adversarial testing. (3) Defined release criteria and evidence they were met before deployment. (4) Re-testing records following material changes.</t>
  </si>
  <si>
    <t>AI Engineering / QA / Test Teams</t>
  </si>
  <si>
    <t>1. V&amp;V plan and test strategy for each AI system.
2. Test results covering model performance, fairness metrics, and robustness.
3. Release gate sign-off records confirming criteria were met.
4. Regression and re-test records following AI system updates.</t>
  </si>
  <si>
    <t>A.6.2.5</t>
  </si>
  <si>
    <t>AI System Deployment</t>
  </si>
  <si>
    <t>The organisation should document a deployment plan for each AI system, ensuring that all necessary conditions are met before it goes live — including completion of testing, impact assessment sign-off, training of operators, production-environment readiness, and rollback capability. Deployment should be controlled and recorded.</t>
  </si>
  <si>
    <t>Auditor will verify: (1) A documented deployment plan or checklist for each AI system. (2) Pre-deployment gates confirmed before go-live (testing, AISIA, training). (3) Deployment records including date, version deployed, and approvals. (4) Rollback or recovery procedures documented and tested.</t>
  </si>
  <si>
    <t>AI Engineering / DevOps / Release Management</t>
  </si>
  <si>
    <t>1. AI system deployment plan or pre-deployment checklist.
2. Go/no-go sign-off records for deployment.
3. Deployment logs showing version, date, and approving authority.
4. Rollback procedure and evidence of rollback testing.</t>
  </si>
  <si>
    <t>A.6.2.6</t>
  </si>
  <si>
    <t>Operation and Monitoring of AI Systems</t>
  </si>
  <si>
    <t>Once deployed, the organisation should plan for ongoing oversight of AI systems — monitoring performance against defined criteria, detecting model drift, data drift, and unexpected behaviours, retraining when needed, and managing AI-specific security threats. Operational procedures should define who monitors what and when.</t>
  </si>
  <si>
    <t>Auditor will look for: (1) Operational monitoring procedures for each AI system. (2) Performance dashboards or monitoring tools in place. (3) Model drift and data drift detection processes. (4) Retraining triggers and records. (5) Escalation procedures for anomalies.</t>
  </si>
  <si>
    <t>AI Engineering / MLOps / Security Operations</t>
  </si>
  <si>
    <t>1. AI system operational monitoring procedures.
2. Monitoring dashboards or tool outputs (performance metrics, drift alerts).
3. Drift detection reports and retraining records.
4. Incident or anomaly logs related to AI system behaviour.
5. Security monitoring records covering AI-specific threats.</t>
  </si>
  <si>
    <t>A.6.2.7</t>
  </si>
  <si>
    <t>AI System Technical Documentation</t>
  </si>
  <si>
    <t>The organisation should determine what technical documentation is needed for each category of interested party — users, operators, partners, and regulatory authorities — and ensure that documentation is created, maintained, and provided in an appropriate form. Documentation should be sufficient to allow oversight and audit of the AI system.</t>
  </si>
  <si>
    <t>Auditor will look for: (1) Technical documentation tailored to different audiences (user guides, model cards, operator manuals, regulatory submissions). (2) A process for keeping documentation current. (3) Evidence documentation is distributed to the relevant parties. (4) Version control for technical documentation.</t>
  </si>
  <si>
    <t>AI Engineering / Product Management / Technical Writing</t>
  </si>
  <si>
    <t>1. Model cards or equivalent AI system documentation.
2. User guides and operator manuals for AI systems.
3. Technical documentation provided to regulators or auditors upon request.
4. Documentation version history and distribution records.</t>
  </si>
  <si>
    <t>A.6.2.8</t>
  </si>
  <si>
    <t>Event Logging</t>
  </si>
  <si>
    <t>The organisation should implement logging of key events in AI system operation — including inputs, outputs, decisions, errors, and system changes — to support audit trails, incident investigation, and explainability of AI-driven decisions. Logs should be retained for a defined period and protected from tampering.</t>
  </si>
  <si>
    <t>Auditor will verify: (1) Logging is enabled and configured for each in-scope AI system. (2) Logs capture inputs, outputs, and key decision events. (3) Log retention period is defined and complied with. (4) Access to logs is controlled and integrity protected. (5) Logs are actively reviewed for anomalies.</t>
  </si>
  <si>
    <t>AI Engineering / Security Operations</t>
  </si>
  <si>
    <t>1. Logging configuration documentation per AI system.
2. Log retention and integrity policy.
3. Sample log extracts demonstrating coverage of inputs, outputs, and events.
4. Log access control records and audit trail of log access.
5. Evidence of log review activities and anomaly investigation records.</t>
  </si>
  <si>
    <t>A.7.2</t>
  </si>
  <si>
    <t>Data for Development and Enhancement of AI Systems</t>
  </si>
  <si>
    <t>The organisation should define and manage the data used to develop and improve AI systems — covering data acquisition, the source of the data, data subject characteristics, potential biases, data rights, provenance, and how data is shared. This ensures that AI models are built on a legally and ethically sound foundation.</t>
  </si>
  <si>
    <t>Auditor will review: (1) Data management procedures covering AI development data. (2) Documentation of data sources, consent or legal basis, and known biases. (3) Records of data rights and licensing for all training data. (4) Evidence of bias identification and mitigation in development data.</t>
  </si>
  <si>
    <t>Data Engineering / Legal &amp; Privacy / Data Science</t>
  </si>
  <si>
    <t>1. AI development data management procedure.
2. Data source inventory with provenance, legal basis, and bias notes.
3. Data rights and licensing agreements for training datasets.
4. Bias identification records and mitigation actions taken.
5. Consent records or legitimate interest assessments where personal data is used.</t>
  </si>
  <si>
    <t>A.7.3</t>
  </si>
  <si>
    <t>Acquisition of Data</t>
  </si>
  <si>
    <t>The organisation should follow controlled and auditable processes when acquiring data for AI systems — whether collected directly, purchased from third parties, or generated synthetically. Data must be acquired lawfully, ethically, and in a manner consistent with consent or legal basis requirements, with acquisition activities recorded.</t>
  </si>
  <si>
    <t>Auditor will check: (1) A documented data acquisition process. (2) Records of each data acquisition event (source, date, volume, legal basis). (3) Third-party data supplier due diligence records. (4) Controls preventing use of unlawfully or unethically acquired data.</t>
  </si>
  <si>
    <t>Data Engineering / Legal / Procurement</t>
  </si>
  <si>
    <t>1. Data acquisition procedure or policy.
2. Data acquisition log recording source, date, volume, and legal basis for each dataset.
3. Third-party data supplier due diligence and contract records.
4. Ethical review records for sensitive data acquisition scenarios.</t>
  </si>
  <si>
    <t>A.7.4</t>
  </si>
  <si>
    <t>Quality of Data for AI Systems</t>
  </si>
  <si>
    <t>The organisation should establish data quality standards and controls to ensure the accuracy, completeness, consistency, timeliness, and representativeness of data used in AI systems. The impact of data quality issues — including bias — on AI outputs should be assessed and managed throughout the life cycle.</t>
  </si>
  <si>
    <t>Auditor will look for: (1) Defined data quality standards applicable to AI datasets. (2) Data quality checks applied to training, validation, and test datasets. (3) Data quality metrics tracked and thresholds defined. (4) Records of data quality issues and corrective actions.</t>
  </si>
  <si>
    <t>Data Governance / Data Engineering / Data Science</t>
  </si>
  <si>
    <t>1. Data quality standards or framework applicable to AI data.
2. Data quality check outputs (profiling reports, automated validation results).
3. Data quality dashboard or scorecard with metrics and thresholds.
4. Data quality incident log and corrective action records.</t>
  </si>
  <si>
    <t>A.7.5</t>
  </si>
  <si>
    <t>Data Provenance</t>
  </si>
  <si>
    <t>The organisation should be able to trace the origin, history, and transformations of data used in AI systems. Provenance records enable accountability, support auditability, allow assessment of bias introduced through lineage, and permit the organisation to respond to challenges about the data underpinning AI model decisions.</t>
  </si>
  <si>
    <t>Auditor will verify: (1) Data lineage is tracked for all AI training and production data. (2) A metadata registry or data catalogue captures provenance information. (3) Transformations applied to data are logged. (4) End-to-end data trace can be demonstrated for a sample AI model.</t>
  </si>
  <si>
    <t>1. Data lineage documentation or tool output (e.g. Apache Atlas, dbt lineage graph).
2. Metadata registry or data catalogue with provenance fields populated.
3. Data transformation logs for AI datasets.
4. Demonstration of end-to-end data trace for a sample model in scope.</t>
  </si>
  <si>
    <t>A.7.6</t>
  </si>
  <si>
    <t>Data Preparation</t>
  </si>
  <si>
    <t>The organisation should apply controlled, repeatable, and documented processes when preparing data for AI systems — including cleaning, normalisation, labelling, and train/validation/test splitting. Pre-processing decisions that could introduce or amplify bias must be documented, reviewed, and assessed for fairness impact.</t>
  </si>
  <si>
    <t>Auditor will check: (1) Data preparation procedures or runbooks that are version-controlled. (2) Labelling process documentation including labeller instructions and quality checks. (3) Bias assessment conducted on prepared datasets. (4) Train/validation/test split methodology documented.</t>
  </si>
  <si>
    <t>Data Science / ML Engineering</t>
  </si>
  <si>
    <t>1. Data preparation runbooks or scripts with version history.
2. Labelling guidelines and labeller training records.
3. Inter-annotator agreement metrics for labelled datasets.
4. Bias assessment results on prepared training data.
5. Train/validation/test split documentation and rationale.</t>
  </si>
  <si>
    <t>A.8.2</t>
  </si>
  <si>
    <t>System Documentation and Information for Users</t>
  </si>
  <si>
    <t>The organisation should ensure that users of AI systems are informed about the system's purpose, capabilities, limitations, potential impacts (benefits and risks), and how to use it correctly. This information must be accurate, accessible, and kept current, enabling users to make informed decisions about AI-assisted outputs.</t>
  </si>
  <si>
    <t>Auditor will look for: (1) User-facing documentation or disclosures for each AI system. (2) Information covering intended use, limitations, and risk of over-reliance. (3) Evidence documentation is accessible to all intended user groups. (4) Process for updating user information when the system changes.</t>
  </si>
  <si>
    <t>Product Management / Technical Documentation / AI Governance</t>
  </si>
  <si>
    <t>1. User guides, help documentation, or in-product disclosures for AI features.
2. Model cards or fact sheets describing AI system capabilities and limitations.
3. Accessibility review of user documentation.
4. Records of documentation updates following AI system changes.</t>
  </si>
  <si>
    <t>A.8.3</t>
  </si>
  <si>
    <t>External Reporting</t>
  </si>
  <si>
    <t>Where required by law, regulation, or contractual obligation, the organisation should provide formal reports or disclosures about its AI systems to external parties — such as regulators, certification bodies, customers, or the public. Reporting obligations should be identified, tracked, and fulfilled on time.</t>
  </si>
  <si>
    <t>Auditor will verify: (1) A register of external reporting obligations related to AI. (2) Evidence that required reports have been submitted on time. (3) Reports are accurate, complete, and aligned with applicable regulatory requirements. (4) A process exists for identifying new reporting obligations as regulation evolves.</t>
  </si>
  <si>
    <t>Conditional</t>
  </si>
  <si>
    <t>Legal &amp; Compliance / AI Governance</t>
  </si>
  <si>
    <t>1. Register of AI-related external reporting obligations (regulatory, contractual).
2. Filed regulatory reports or disclosures with submission confirmation records.
3. Internal review and sign-off records prior to external submission.
4. Horizon-scanning process for emerging AI reporting requirements.</t>
  </si>
  <si>
    <t>A.8.4</t>
  </si>
  <si>
    <t>Communication of Incidents</t>
  </si>
  <si>
    <t>The organisation should define a documented process that allows interested parties — including users, affected individuals, and external parties — to report adverse impacts, errors, or unexpected behaviours from AI systems. Reports should be investigated, documented, and escalated appropriately.</t>
  </si>
  <si>
    <t>Auditor will look for: (1) A published channel for reporting AI incidents or adverse effects. (2) A defined process for receiving, logging, investigating, and resolving reported incidents. (3) Evidence the channel is communicated to relevant parties. (4) Incident log and resolution records.</t>
  </si>
  <si>
    <t>AI Governance / Customer Operations / Legal</t>
  </si>
  <si>
    <t>1. AI incident reporting channel (e.g. dedicated email, web form, hotline).
2. Incident reporting procedure covering receipt, logging, and investigation.
3. Communication records showing the reporting channel is publicised to users.
4. AI incident log with classification, investigation notes, and resolution status.
5. Sample incident investigation and root cause analysis records.</t>
  </si>
  <si>
    <t>A.8.5</t>
  </si>
  <si>
    <t>Information for Interested Parties</t>
  </si>
  <si>
    <t>The organisation should identify all obligations — legal, regulatory, contractual, and ethical — to provide information about its AI systems to interested parties such as regulators, partners, affected individuals, and the public, and should have a process to fulfil those obligations accurately and on time.</t>
  </si>
  <si>
    <t>Auditor will verify: (1) A documented obligations register covering AI information-sharing requirements. (2) Evidence obligations are tracked and fulfilled. (3) A named owner responsible for managing stakeholder information obligations. (4) Records of information provided to interested parties upon request.</t>
  </si>
  <si>
    <t>Legal &amp; Compliance / AI Governance / Communications</t>
  </si>
  <si>
    <t>1. Interested-party obligations register covering AI information requirements.
2. Records of information provided to regulators, partners, or individuals.
3. Named owner and accountability assignment for stakeholder information management.
4. Horizon-scanning log for new information obligations arising from regulation.</t>
  </si>
  <si>
    <t>A.9.2</t>
  </si>
  <si>
    <t>Processes for Responsible Use of AI Systems</t>
  </si>
  <si>
    <t>The organisation should document policies, procedures, and approvals governing how AI systems are used — regardless of whether the system was built in-house or procured from a third party. Processes should address sourcing approvals, acceptable use boundaries, human oversight requirements, and escalation procedures.</t>
  </si>
  <si>
    <t>Auditor will check: (1) Documented responsible use procedures for all AI systems in use. (2) Approval process for introducing new AI systems or use cases. (3) Acceptable use policy communicated to all AI system operators and users. (4) Escalation paths for suspected misuse or unexpected outputs.</t>
  </si>
  <si>
    <t>AI Governance / Operations / Legal</t>
  </si>
  <si>
    <t>1. AI responsible use policy or procedure.
2. AI system approval or onboarding process records.
3. Acceptable use policy distributed to operators and users.
4. Escalation procedure and records of escalations actioned.</t>
  </si>
  <si>
    <t>A.9.3</t>
  </si>
  <si>
    <t>Objectives for Use of AI Systems</t>
  </si>
  <si>
    <t>The organisation should set specific objectives for how AI systems are used responsibly in operation — covering security, safety, accessibility, accountability, fairness, reliability, and human oversight. These objectives should be measurable, monitored against defined criteria, and drive corrective action where not met.</t>
  </si>
  <si>
    <t>Auditor will look for: (1) Documented operational objectives for responsible AI use per system. (2) Metrics or KPIs measuring objective attainment. (3) Evidence of periodic performance review against objectives. (4) Corrective action records where objectives were not met.</t>
  </si>
  <si>
    <t>AI Governance / Operations / Risk &amp; Compliance</t>
  </si>
  <si>
    <t>1. Responsible use objectives register per AI system with measurable KPIs.
2. Performance dashboards tracking fairness, safety, and reliability metrics.
3. Periodic review records of responsible use objective attainment.
4. Corrective action log where objectives were not met.</t>
  </si>
  <si>
    <t>A.9.4</t>
  </si>
  <si>
    <t>Intended Use of AI Systems</t>
  </si>
  <si>
    <t>The organisation should verify that AI systems are being used as intended — within the scope, context, and conditions defined in the system's documentation. Where actual use deviates from intended use, controls should be in place to detect the deviation, assess the risk, and take corrective action.</t>
  </si>
  <si>
    <t>Auditor will verify: (1) Intended use is clearly defined and documented for each AI system. (2) Controls exist to detect use outside the intended scope. (3) Deviations from intended use are recorded and investigated. (4) Contraindicated uses are communicated to operators and users.</t>
  </si>
  <si>
    <t>AI Governance / Product Management / Operations</t>
  </si>
  <si>
    <t>1. Intended use statements per AI system (in model card or system documentation).
2. Monitoring alerts or use-case controls detecting out-of-scope use.
3. Deviation records and investigation outcomes.
4. Contraindicated use communications to operators and users.
5. Evidence from life cycle control A.6.2 demonstrating intended-use alignment.</t>
  </si>
  <si>
    <t>A.10.2</t>
  </si>
  <si>
    <t>Allocating Responsibilities in AI Supply Chain</t>
  </si>
  <si>
    <t>The organisation should document all stakeholders involved in the AI system life cycle — including data providers, model developers, system integrators, operators, and customers — and define the respective roles and responsibilities of each party. Where responsibilities are shared, interfaces and hand-off points should be explicitly agreed and documented.</t>
  </si>
  <si>
    <t>Auditor will look for: (1) A stakeholder register covering all parties in the AI supply chain. (2) Role and responsibility assignments for third parties documented in contracts. (3) Interface agreements where responsibilities are shared. (4) Regular review of the stakeholder register.</t>
  </si>
  <si>
    <t>Legal / Procurement / AI Governance</t>
  </si>
  <si>
    <t>1. AI supply chain stakeholder register with roles and responsibilities.
2. Contracts or agreements with third parties specifying AI-related responsibilities.
3. Interface or handover documentation for shared responsibilities.
4. Stakeholder register review log.</t>
  </si>
  <si>
    <t>A.10.3</t>
  </si>
  <si>
    <t>Suppliers</t>
  </si>
  <si>
    <t>The organisation should conduct structured risk assessments, evaluations, and ongoing monitoring of AI suppliers — including data providers, model vendors, and AI service providers. Supplier selection should consider ethical AI practices, security, data quality, and compliance with applicable regulations.</t>
  </si>
  <si>
    <t>Auditor will verify: (1) An AI supplier risk assessment process exists. (2) Due diligence records for all AI suppliers. (3) Contractual protections covering responsible AI, audit rights, and incident notification. (4) Ongoing supplier performance monitoring records.</t>
  </si>
  <si>
    <t>Procurement / Third-Party Risk / Legal</t>
  </si>
  <si>
    <t>1. AI supplier risk assessment procedure and completed assessments.
2. Supplier due diligence questionnaires and responses.
3. Contracts with responsible AI, data protection, and audit-right clauses.
4. Supplier performance review records.
5. Register of approved AI suppliers with risk ratings.</t>
  </si>
  <si>
    <t>A.10.4</t>
  </si>
  <si>
    <t>Customers</t>
  </si>
  <si>
    <t>Where the organisation provides AI systems or services to customers, it should identify customer requirements for the AI system, support responsible use by customers through contractual terms, usage guidance, and monitoring, and manage customer relationships throughout the AI system life cycle in a way that reflects the organisation's own responsible AI commitments.</t>
  </si>
  <si>
    <t>Auditor will look for: (1) Customer requirements identification process for AI services. (2) Customer-facing terms of use and acceptable use policy for AI products. (3) Guidance and onboarding materials provided to customers. (4) Customer feedback and complaint handling process.</t>
  </si>
  <si>
    <t>Commercial / Legal / Product Management</t>
  </si>
  <si>
    <t>1. Customer requirements documentation for AI services.
2. Customer terms of service and acceptable use policy covering AI.
3. Customer onboarding materials and usage guidance.
4. Customer feedback and complaint log.
5. Customer relationship management process documentation.</t>
  </si>
  <si>
    <t>Nirav Parikh (www.linkedin.com/in/nirav-parikh-ab865ba)</t>
  </si>
  <si>
    <t>v1.0</t>
  </si>
  <si>
    <t>GRC Compliance Status Overview  |  As on: 16 May 2026  |  Standard: ISO/IEC 42001:2023</t>
  </si>
  <si>
    <t>Under Review</t>
  </si>
  <si>
    <t>Conformity Status by Control Domain (All 38 Controls)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</si>
</sst>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2" x14ac:knownFonts="1">
    <font>
      <sz val="11"/>
      <color theme="1"/>
      <name val="Calibri"/>
      <family val="2"/>
      <charset val="1"/>
    </font>
    <font>
      <b/>
      <sz val="14"/>
      <color rgb="FF1B2A4A"/>
      <name val="Arial"/>
      <family val="2"/>
    </font>
    <font>
      <sz val="14"/>
      <color rgb="FF1A1A1A"/>
      <name val="Arial"/>
      <family val="2"/>
    </font>
    <font>
      <sz val="14"/>
      <color theme="1"/>
      <name val="Arial"/>
      <family val="2"/>
    </font>
    <font>
      <b/>
      <sz val="14"/>
      <color rgb="FFFFFFFF"/>
      <name val="Arial"/>
      <family val="2"/>
    </font>
    <font>
      <sz val="14"/>
      <color rgb="FF4A4E55"/>
      <name val="Arial"/>
      <family val="2"/>
    </font>
    <font>
      <b/>
      <sz val="14"/>
      <color rgb="FF1E3A6E"/>
      <name val="Arial"/>
      <family val="2"/>
    </font>
    <font>
      <b/>
      <sz val="14"/>
      <color rgb="FF1A5276"/>
      <name val="Arial"/>
      <family val="2"/>
    </font>
    <font>
      <b/>
      <sz val="14"/>
      <color rgb="FF1E7E34"/>
      <name val="Arial"/>
      <family val="2"/>
    </font>
    <font>
      <b/>
      <sz val="14"/>
      <color rgb="FF7D6608"/>
      <name val="Arial"/>
      <family val="2"/>
    </font>
    <font>
      <b/>
      <sz val="14"/>
      <color rgb="FF76448A"/>
      <name val="Arial"/>
      <family val="2"/>
    </font>
    <font>
      <b/>
      <sz val="14"/>
      <color rgb="FF9A6E0A"/>
      <name val="Arial"/>
      <family val="2"/>
    </font>
    <font>
      <b/>
      <sz val="14"/>
      <color rgb="FFA04000"/>
      <name val="Arial"/>
      <family val="2"/>
    </font>
    <font>
      <b/>
      <sz val="14"/>
      <color rgb="FF922B21"/>
      <name val="Arial"/>
      <family val="2"/>
    </font>
    <font>
      <b/>
      <sz val="14"/>
      <color rgb="FF155724"/>
      <name val="Arial"/>
      <family val="2"/>
    </font>
    <font>
      <b/>
      <sz val="14"/>
      <color rgb="FF7D5A00"/>
      <name val="Arial"/>
      <family val="2"/>
    </font>
    <font>
      <b/>
      <sz val="14"/>
      <color rgb="FF721C24"/>
      <name val="Arial"/>
      <family val="2"/>
    </font>
    <font>
      <b/>
      <sz val="14"/>
      <color rgb="FF4A4E55"/>
      <name val="Arial"/>
      <family val="2"/>
    </font>
    <font>
      <b/>
      <sz val="14"/>
      <color rgb="FF2E5F8A"/>
      <name val="Arial"/>
      <family val="2"/>
    </font>
    <font>
      <i/>
      <sz val="14"/>
      <color rgb="FF721C24"/>
      <name val="Arial"/>
      <family val="2"/>
    </font>
    <font>
      <sz val="11"/>
      <color theme="1"/>
      <name val="Arial"/>
      <family val="2"/>
    </font>
    <font>
      <b/>
      <sz val="22"/>
      <color rgb="FFFFFFFF"/>
      <name val="Arial"/>
      <family val="2"/>
    </font>
    <font>
      <i/>
      <sz val="14"/>
      <color rgb="FFFFFFFF"/>
      <name val="Arial"/>
      <family val="2"/>
    </font>
    <font>
      <sz val="12"/>
      <color theme="1"/>
      <name val="Arial"/>
      <family val="2"/>
    </font>
    <font>
      <b/>
      <sz val="12"/>
      <color rgb="FFFFFFFF"/>
      <name val="Arial"/>
      <family val="2"/>
    </font>
    <font>
      <sz val="12"/>
      <color theme="1"/>
      <name val="Calibri"/>
      <family val="2"/>
      <charset val="1"/>
    </font>
    <font>
      <b/>
      <sz val="12"/>
      <color rgb="FF1B2A4A"/>
      <name val="Arial"/>
      <family val="2"/>
    </font>
    <font>
      <sz val="12"/>
      <color rgb="FF1A1A1A"/>
      <name val="Arial"/>
      <family val="2"/>
    </font>
    <font>
      <b/>
      <sz val="12"/>
      <color rgb="FF155724"/>
      <name val="Arial"/>
      <family val="2"/>
    </font>
    <font>
      <sz val="12"/>
      <name val="Arial"/>
      <family val="2"/>
    </font>
    <font>
      <sz val="12"/>
      <color rgb="FF4A4E55"/>
      <name val="Arial"/>
      <family val="2"/>
    </font>
    <font>
      <b/>
      <sz val="12"/>
      <color rgb="FF1E3A6E"/>
      <name val="Arial"/>
      <family val="2"/>
    </font>
    <font>
      <b/>
      <sz val="12"/>
      <color rgb="FF1A5276"/>
      <name val="Arial"/>
      <family val="2"/>
    </font>
    <font>
      <b/>
      <sz val="12"/>
      <color rgb="FF1E7E34"/>
      <name val="Arial"/>
      <family val="2"/>
    </font>
    <font>
      <b/>
      <sz val="12"/>
      <color rgb="FF7D6608"/>
      <name val="Arial"/>
      <family val="2"/>
    </font>
    <font>
      <b/>
      <sz val="12"/>
      <color rgb="FF76448A"/>
      <name val="Arial"/>
      <family val="2"/>
    </font>
    <font>
      <b/>
      <sz val="12"/>
      <color rgb="FF9A6E0A"/>
      <name val="Arial"/>
      <family val="2"/>
    </font>
    <font>
      <b/>
      <sz val="12"/>
      <color rgb="FF856404"/>
      <name val="Arial"/>
      <family val="2"/>
    </font>
    <font>
      <b/>
      <sz val="12"/>
      <color rgb="FFA04000"/>
      <name val="Arial"/>
      <family val="2"/>
    </font>
    <font>
      <b/>
      <sz val="12"/>
      <color rgb="FF922B21"/>
      <name val="Arial"/>
      <family val="2"/>
    </font>
    <font>
      <sz val="14"/>
      <color rgb="FFFFFFFF"/>
      <name val="Arial"/>
      <family val="2"/>
    </font>
    <font>
      <i/>
      <sz val="14"/>
      <color rgb="FF4A4E55"/>
      <name val="Arial"/>
      <family val="2"/>
    </font>
  </fonts>
  <fills count="32">
    <fill>
      <patternFill patternType="none"/>
    </fill>
    <fill>
      <patternFill patternType="gray125"/>
    </fill>
    <fill>
      <patternFill patternType="solid">
        <fgColor rgb="FF1B2A4A"/>
        <bgColor rgb="FF1E3A6E"/>
      </patternFill>
    </fill>
    <fill>
      <patternFill patternType="solid">
        <fgColor rgb="FFD6E8F7"/>
        <bgColor rgb="FFDDE5F5"/>
      </patternFill>
    </fill>
    <fill>
      <patternFill patternType="solid">
        <fgColor rgb="FFEBF4FF"/>
        <bgColor rgb="FFE8F4FD"/>
      </patternFill>
    </fill>
    <fill>
      <patternFill patternType="solid">
        <fgColor rgb="FFFFFFFF"/>
        <bgColor rgb="FFF8FBFF"/>
      </patternFill>
    </fill>
    <fill>
      <patternFill patternType="solid">
        <fgColor rgb="FF2E5F8A"/>
        <bgColor rgb="FF1A5276"/>
      </patternFill>
    </fill>
    <fill>
      <patternFill patternType="solid">
        <fgColor rgb="FFDDE5F5"/>
        <bgColor rgb="FFD6E8F7"/>
      </patternFill>
    </fill>
    <fill>
      <patternFill patternType="solid">
        <fgColor rgb="FFF2F4F7"/>
        <bgColor rgb="FFEBF4FF"/>
      </patternFill>
    </fill>
    <fill>
      <patternFill patternType="solid">
        <fgColor rgb="FFE8F4FD"/>
        <bgColor rgb="FFEBF4FF"/>
      </patternFill>
    </fill>
    <fill>
      <patternFill patternType="solid">
        <fgColor rgb="FFE4F5E9"/>
        <bgColor rgb="FFE0F4F5"/>
      </patternFill>
    </fill>
    <fill>
      <patternFill patternType="solid">
        <fgColor rgb="FFFFF9E6"/>
        <bgColor rgb="FFFEF9E7"/>
      </patternFill>
    </fill>
    <fill>
      <patternFill patternType="solid">
        <fgColor rgb="FFFDF2F8"/>
        <bgColor rgb="FFFFF5F5"/>
      </patternFill>
    </fill>
    <fill>
      <patternFill patternType="solid">
        <fgColor rgb="FFFEF9E7"/>
        <bgColor rgb="FFFFF9E6"/>
      </patternFill>
    </fill>
    <fill>
      <patternFill patternType="solid">
        <fgColor rgb="FFFDEBD0"/>
        <bgColor rgb="FFFFF3CD"/>
      </patternFill>
    </fill>
    <fill>
      <patternFill patternType="solid">
        <fgColor rgb="FFFDEDEC"/>
        <bgColor rgb="FFFDF2F8"/>
      </patternFill>
    </fill>
    <fill>
      <patternFill patternType="solid">
        <fgColor rgb="FF00838F"/>
        <bgColor rgb="FF0066CC"/>
      </patternFill>
    </fill>
    <fill>
      <patternFill patternType="solid">
        <fgColor rgb="FFE0F4F5"/>
        <bgColor rgb="FFE4F5E9"/>
      </patternFill>
    </fill>
    <fill>
      <patternFill patternType="solid">
        <fgColor rgb="FF4A4E55"/>
        <bgColor rgb="FF2E5F8A"/>
      </patternFill>
    </fill>
    <fill>
      <patternFill patternType="solid">
        <fgColor rgb="FFD4EDDA"/>
        <bgColor rgb="FFC6EFCE"/>
      </patternFill>
    </fill>
    <fill>
      <patternFill patternType="solid">
        <fgColor rgb="FFFFEB9C"/>
        <bgColor rgb="FFFDEBD0"/>
      </patternFill>
    </fill>
    <fill>
      <patternFill patternType="solid">
        <fgColor rgb="FFFFC7CE"/>
        <bgColor rgb="FFD9D9D9"/>
      </patternFill>
    </fill>
    <fill>
      <patternFill patternType="solid">
        <fgColor rgb="FFD9D9D9"/>
        <bgColor rgb="FFDDE5F5"/>
      </patternFill>
    </fill>
    <fill>
      <patternFill patternType="solid">
        <fgColor rgb="FF721C24"/>
        <bgColor rgb="FF922B21"/>
      </patternFill>
    </fill>
    <fill>
      <patternFill patternType="solid">
        <fgColor rgb="FFFFF5F5"/>
        <bgColor rgb="FFFDF2F8"/>
      </patternFill>
    </fill>
    <fill>
      <patternFill patternType="solid">
        <fgColor rgb="FF1E7E34"/>
        <bgColor rgb="FF155724"/>
      </patternFill>
    </fill>
    <fill>
      <patternFill patternType="solid">
        <fgColor rgb="FF856404"/>
        <bgColor rgb="FF7D6608"/>
      </patternFill>
    </fill>
    <fill>
      <patternFill patternType="solid">
        <fgColor rgb="FFC6EFCE"/>
        <bgColor rgb="FFD4EDDA"/>
      </patternFill>
    </fill>
    <fill>
      <patternFill patternType="solid">
        <fgColor rgb="FFFAFAFA"/>
        <bgColor rgb="FFF8F9FA"/>
      </patternFill>
    </fill>
    <fill>
      <patternFill patternType="solid">
        <fgColor rgb="FFF8F9FA"/>
        <bgColor rgb="FFFAFAFA"/>
      </patternFill>
    </fill>
    <fill>
      <patternFill patternType="solid">
        <fgColor rgb="FFF8FBFF"/>
        <bgColor rgb="FFFAFAFA"/>
      </patternFill>
    </fill>
    <fill>
      <patternFill patternType="solid">
        <fgColor rgb="FFFFF3CD"/>
        <bgColor rgb="FFFDEBD0"/>
      </patternFill>
    </fill>
  </fills>
  <borders count="8">
    <border>
      <left/>
      <right/>
      <top/>
      <bottom/>
      <diagonal/>
    </border>
    <border>
      <left style="thin">
        <color rgb="FFBDC3CC"/>
      </left>
      <right style="thin">
        <color rgb="FFBDC3CC"/>
      </right>
      <top style="thin">
        <color rgb="FFBDC3CC"/>
      </top>
      <bottom style="thin">
        <color rgb="FFBDC3CC"/>
      </bottom>
      <diagonal/>
    </border>
    <border>
      <left style="thick">
        <color rgb="FF00838F"/>
      </left>
      <right/>
      <top style="thin">
        <color rgb="FFBDC3CC"/>
      </top>
      <bottom style="thin">
        <color rgb="FFBDC3CC"/>
      </bottom>
      <diagonal/>
    </border>
    <border>
      <left style="thick">
        <color rgb="FF721C24"/>
      </left>
      <right/>
      <top style="thin">
        <color rgb="FFBDC3CC"/>
      </top>
      <bottom style="thin">
        <color rgb="FFBDC3CC"/>
      </bottom>
      <diagonal/>
    </border>
    <border>
      <left style="thin">
        <color rgb="FFBDC3CC"/>
      </left>
      <right/>
      <top style="thin">
        <color rgb="FFBDC3CC"/>
      </top>
      <bottom style="thin">
        <color rgb="FFBDC3CC"/>
      </bottom>
      <diagonal/>
    </border>
    <border>
      <left style="thick">
        <color rgb="FF4A90D9"/>
      </left>
      <right/>
      <top style="thin">
        <color rgb="FFBDC3CC"/>
      </top>
      <bottom style="thin">
        <color rgb="FFBDC3CC"/>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80">
    <xf numFmtId="0" fontId="0" fillId="0" borderId="0" xfId="0"/>
    <xf numFmtId="0" fontId="1" fillId="3"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3" fillId="0" borderId="0" xfId="0" applyFont="1"/>
    <xf numFmtId="0" fontId="4" fillId="6"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0" fontId="5" fillId="8" borderId="1" xfId="0" applyFont="1" applyFill="1" applyBorder="1" applyAlignment="1">
      <alignment horizontal="left" vertical="center" wrapText="1"/>
    </xf>
    <xf numFmtId="0" fontId="7" fillId="9" borderId="1" xfId="0" applyFont="1" applyFill="1" applyBorder="1" applyAlignment="1">
      <alignment horizontal="left" vertical="center" wrapText="1"/>
    </xf>
    <xf numFmtId="0" fontId="8" fillId="10" borderId="1" xfId="0" applyFont="1" applyFill="1" applyBorder="1" applyAlignment="1">
      <alignment horizontal="left" vertical="center" wrapText="1"/>
    </xf>
    <xf numFmtId="0" fontId="9" fillId="11" borderId="1" xfId="0" applyFont="1" applyFill="1" applyBorder="1" applyAlignment="1">
      <alignment horizontal="left" vertical="center" wrapText="1"/>
    </xf>
    <xf numFmtId="0" fontId="10" fillId="12" borderId="1" xfId="0" applyFont="1" applyFill="1" applyBorder="1" applyAlignment="1">
      <alignment horizontal="left" vertical="center" wrapText="1"/>
    </xf>
    <xf numFmtId="0" fontId="11" fillId="13" borderId="1" xfId="0" applyFont="1" applyFill="1" applyBorder="1" applyAlignment="1">
      <alignment horizontal="left" vertical="center" wrapText="1"/>
    </xf>
    <xf numFmtId="0" fontId="12" fillId="14" borderId="1" xfId="0" applyFont="1" applyFill="1" applyBorder="1" applyAlignment="1">
      <alignment horizontal="left" vertical="center" wrapText="1"/>
    </xf>
    <xf numFmtId="0" fontId="13" fillId="15" borderId="1" xfId="0" applyFont="1" applyFill="1" applyBorder="1" applyAlignment="1">
      <alignment horizontal="left" vertical="center" wrapText="1"/>
    </xf>
    <xf numFmtId="0" fontId="14" fillId="19" borderId="1" xfId="0" applyFont="1" applyFill="1" applyBorder="1" applyAlignment="1">
      <alignment horizontal="left" vertical="center" wrapText="1"/>
    </xf>
    <xf numFmtId="0" fontId="2" fillId="5" borderId="1" xfId="0" applyFont="1" applyFill="1" applyBorder="1" applyAlignment="1">
      <alignment horizontal="left" vertical="center" wrapText="1"/>
    </xf>
    <xf numFmtId="0" fontId="15" fillId="20" borderId="1" xfId="0" applyFont="1" applyFill="1" applyBorder="1" applyAlignment="1">
      <alignment horizontal="left" vertical="center" wrapText="1"/>
    </xf>
    <xf numFmtId="0" fontId="16" fillId="21" borderId="1" xfId="0" applyFont="1" applyFill="1" applyBorder="1" applyAlignment="1">
      <alignment horizontal="left" vertical="center" wrapText="1"/>
    </xf>
    <xf numFmtId="0" fontId="17" fillId="22" borderId="1" xfId="0" applyFont="1" applyFill="1" applyBorder="1" applyAlignment="1">
      <alignment horizontal="left" vertical="center" wrapText="1"/>
    </xf>
    <xf numFmtId="0" fontId="18" fillId="4" borderId="1" xfId="0" applyFont="1" applyFill="1" applyBorder="1" applyAlignment="1">
      <alignment horizontal="left" vertical="center" wrapText="1"/>
    </xf>
    <xf numFmtId="0" fontId="20" fillId="0" borderId="0" xfId="0" applyFont="1"/>
    <xf numFmtId="0" fontId="23" fillId="0" borderId="0" xfId="0" applyFont="1"/>
    <xf numFmtId="0" fontId="25" fillId="0" borderId="0" xfId="0" applyFont="1"/>
    <xf numFmtId="0" fontId="24" fillId="6" borderId="1" xfId="0" applyFont="1" applyFill="1" applyBorder="1" applyAlignment="1">
      <alignment horizontal="center" vertical="center" wrapText="1"/>
    </xf>
    <xf numFmtId="0" fontId="26" fillId="3" borderId="1" xfId="0" applyFont="1" applyFill="1" applyBorder="1" applyAlignment="1">
      <alignment horizontal="left" vertical="top" wrapText="1"/>
    </xf>
    <xf numFmtId="0" fontId="27" fillId="5" borderId="1" xfId="0" applyFont="1" applyFill="1" applyBorder="1" applyAlignment="1">
      <alignment horizontal="left" vertical="top" wrapText="1"/>
    </xf>
    <xf numFmtId="0" fontId="29" fillId="28" borderId="1" xfId="0" applyFont="1" applyFill="1" applyBorder="1" applyAlignment="1">
      <alignment horizontal="left" vertical="top" wrapText="1"/>
    </xf>
    <xf numFmtId="0" fontId="27" fillId="30" borderId="1" xfId="0" applyFont="1" applyFill="1" applyBorder="1" applyAlignment="1">
      <alignment horizontal="left" vertical="top" wrapText="1"/>
    </xf>
    <xf numFmtId="0" fontId="31" fillId="7" borderId="1" xfId="0" applyFont="1" applyFill="1" applyBorder="1" applyAlignment="1">
      <alignment horizontal="left" vertical="top" wrapText="1"/>
    </xf>
    <xf numFmtId="0" fontId="32" fillId="9" borderId="1" xfId="0" applyFont="1" applyFill="1" applyBorder="1" applyAlignment="1">
      <alignment horizontal="left" vertical="top" wrapText="1"/>
    </xf>
    <xf numFmtId="0" fontId="33" fillId="10" borderId="1" xfId="0" applyFont="1" applyFill="1" applyBorder="1" applyAlignment="1">
      <alignment horizontal="left" vertical="top" wrapText="1"/>
    </xf>
    <xf numFmtId="0" fontId="34" fillId="11" borderId="1" xfId="0" applyFont="1" applyFill="1" applyBorder="1" applyAlignment="1">
      <alignment horizontal="left" vertical="top" wrapText="1"/>
    </xf>
    <xf numFmtId="0" fontId="35" fillId="12" borderId="1" xfId="0" applyFont="1" applyFill="1" applyBorder="1" applyAlignment="1">
      <alignment horizontal="left" vertical="top" wrapText="1"/>
    </xf>
    <xf numFmtId="0" fontId="36" fillId="13" borderId="1" xfId="0" applyFont="1" applyFill="1" applyBorder="1" applyAlignment="1">
      <alignment horizontal="left" vertical="top" wrapText="1"/>
    </xf>
    <xf numFmtId="0" fontId="38" fillId="14" borderId="1" xfId="0" applyFont="1" applyFill="1" applyBorder="1" applyAlignment="1">
      <alignment horizontal="left" vertical="top" wrapText="1"/>
    </xf>
    <xf numFmtId="0" fontId="39" fillId="15" borderId="1" xfId="0" applyFont="1" applyFill="1" applyBorder="1" applyAlignment="1">
      <alignment horizontal="left" vertical="top" wrapText="1"/>
    </xf>
    <xf numFmtId="0" fontId="4" fillId="2" borderId="1" xfId="0" applyFont="1" applyFill="1" applyBorder="1" applyAlignment="1">
      <alignment horizontal="center" vertical="center"/>
    </xf>
    <xf numFmtId="0" fontId="4" fillId="25" borderId="1" xfId="0" applyFont="1" applyFill="1" applyBorder="1" applyAlignment="1">
      <alignment horizontal="center" vertical="center"/>
    </xf>
    <xf numFmtId="0" fontId="4" fillId="26" borderId="1" xfId="0" applyFont="1" applyFill="1" applyBorder="1" applyAlignment="1">
      <alignment horizontal="center" vertical="center"/>
    </xf>
    <xf numFmtId="0" fontId="4" fillId="23" borderId="1" xfId="0" applyFont="1" applyFill="1" applyBorder="1" applyAlignment="1">
      <alignment horizontal="center" vertical="center"/>
    </xf>
    <xf numFmtId="0" fontId="4" fillId="18" borderId="1" xfId="0" applyFont="1" applyFill="1" applyBorder="1" applyAlignment="1">
      <alignment horizontal="center" vertical="center"/>
    </xf>
    <xf numFmtId="0" fontId="4" fillId="6" borderId="1" xfId="0" applyFont="1" applyFill="1" applyBorder="1" applyAlignment="1">
      <alignment horizontal="center" vertical="center"/>
    </xf>
    <xf numFmtId="0" fontId="40" fillId="2" borderId="1" xfId="0" applyFont="1" applyFill="1" applyBorder="1" applyAlignment="1">
      <alignment horizontal="center" vertical="center"/>
    </xf>
    <xf numFmtId="0" fontId="40" fillId="25" borderId="1" xfId="0" applyFont="1" applyFill="1" applyBorder="1" applyAlignment="1">
      <alignment horizontal="center" vertical="center"/>
    </xf>
    <xf numFmtId="0" fontId="40" fillId="26" borderId="1" xfId="0" applyFont="1" applyFill="1" applyBorder="1" applyAlignment="1">
      <alignment horizontal="center" vertical="center"/>
    </xf>
    <xf numFmtId="0" fontId="40" fillId="23" borderId="1" xfId="0" applyFont="1" applyFill="1" applyBorder="1" applyAlignment="1">
      <alignment horizontal="center" vertical="center"/>
    </xf>
    <xf numFmtId="0" fontId="40" fillId="18" borderId="1" xfId="0" applyFont="1" applyFill="1" applyBorder="1" applyAlignment="1">
      <alignment horizontal="center" vertical="center"/>
    </xf>
    <xf numFmtId="0" fontId="40" fillId="6" borderId="1" xfId="0" applyFont="1" applyFill="1" applyBorder="1" applyAlignment="1">
      <alignment horizontal="center" vertical="center"/>
    </xf>
    <xf numFmtId="0" fontId="2" fillId="5" borderId="1" xfId="0" applyFont="1" applyFill="1" applyBorder="1" applyAlignment="1">
      <alignment horizontal="center" vertical="center" wrapText="1"/>
    </xf>
    <xf numFmtId="9" fontId="2" fillId="5" borderId="1" xfId="0" applyNumberFormat="1" applyFont="1" applyFill="1" applyBorder="1" applyAlignment="1">
      <alignment horizontal="center" vertical="center" wrapText="1"/>
    </xf>
    <xf numFmtId="0" fontId="2" fillId="8" borderId="1" xfId="0" applyFont="1" applyFill="1" applyBorder="1" applyAlignment="1">
      <alignment horizontal="center" vertical="center" wrapText="1"/>
    </xf>
    <xf numFmtId="9" fontId="2" fillId="8" borderId="1" xfId="0" applyNumberFormat="1"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9" fontId="4" fillId="2" borderId="1" xfId="0" applyNumberFormat="1" applyFont="1" applyFill="1" applyBorder="1" applyAlignment="1">
      <alignment horizontal="center" vertical="center" wrapText="1"/>
    </xf>
    <xf numFmtId="0" fontId="28" fillId="19" borderId="1" xfId="0" applyFont="1" applyFill="1" applyBorder="1" applyAlignment="1">
      <alignment horizontal="left" vertical="top" wrapText="1"/>
    </xf>
    <xf numFmtId="0" fontId="30" fillId="29" borderId="1" xfId="0" applyFont="1" applyFill="1" applyBorder="1" applyAlignment="1">
      <alignment horizontal="left" vertical="top" wrapText="1"/>
    </xf>
    <xf numFmtId="0" fontId="37" fillId="31" borderId="1" xfId="0" applyFont="1" applyFill="1" applyBorder="1" applyAlignment="1">
      <alignment horizontal="left" vertical="top" wrapText="1"/>
    </xf>
    <xf numFmtId="0" fontId="4" fillId="18" borderId="0" xfId="0" applyFont="1" applyFill="1" applyAlignment="1">
      <alignment horizontal="left" vertical="center"/>
    </xf>
    <xf numFmtId="0" fontId="4" fillId="23" borderId="0" xfId="0" applyFont="1" applyFill="1" applyAlignment="1">
      <alignment horizontal="left" vertical="center"/>
    </xf>
    <xf numFmtId="0" fontId="19" fillId="24" borderId="3" xfId="0" applyFont="1" applyFill="1" applyBorder="1" applyAlignment="1">
      <alignment horizontal="left" vertical="top" wrapText="1"/>
    </xf>
    <xf numFmtId="0" fontId="5" fillId="17" borderId="2" xfId="0" applyFont="1" applyFill="1" applyBorder="1" applyAlignment="1">
      <alignment horizontal="left" vertical="top" wrapText="1"/>
    </xf>
    <xf numFmtId="0" fontId="21" fillId="2" borderId="0" xfId="0" applyFont="1" applyFill="1" applyAlignment="1">
      <alignment horizontal="center" vertical="center" wrapText="1"/>
    </xf>
    <xf numFmtId="0" fontId="4" fillId="2" borderId="0" xfId="0" applyFont="1" applyFill="1" applyAlignment="1">
      <alignment horizontal="left" vertical="center"/>
    </xf>
    <xf numFmtId="0" fontId="5" fillId="5" borderId="6" xfId="0" applyFont="1" applyFill="1" applyBorder="1" applyAlignment="1">
      <alignment horizontal="left" vertical="top" wrapText="1"/>
    </xf>
    <xf numFmtId="0" fontId="5" fillId="5" borderId="7" xfId="0" applyFont="1" applyFill="1" applyBorder="1" applyAlignment="1">
      <alignment horizontal="left" vertical="top" wrapText="1"/>
    </xf>
    <xf numFmtId="0" fontId="4" fillId="6" borderId="0" xfId="0" applyFont="1" applyFill="1" applyAlignment="1">
      <alignment horizontal="left" vertical="center"/>
    </xf>
    <xf numFmtId="0" fontId="4" fillId="16" borderId="0" xfId="0" applyFont="1" applyFill="1" applyAlignment="1">
      <alignment horizontal="left" vertical="center"/>
    </xf>
    <xf numFmtId="0" fontId="4" fillId="2" borderId="0" xfId="0" applyFont="1" applyFill="1" applyAlignment="1">
      <alignment horizontal="center" vertical="center"/>
    </xf>
    <xf numFmtId="0" fontId="18" fillId="4" borderId="4" xfId="0" applyFont="1" applyFill="1" applyBorder="1" applyAlignment="1">
      <alignment horizontal="left" vertical="center"/>
    </xf>
    <xf numFmtId="0" fontId="41" fillId="4" borderId="5" xfId="0" applyFont="1" applyFill="1" applyBorder="1" applyAlignment="1">
      <alignment horizontal="left" vertical="center" wrapText="1"/>
    </xf>
    <xf numFmtId="0" fontId="14" fillId="27" borderId="4" xfId="0" applyFont="1" applyFill="1" applyBorder="1" applyAlignment="1">
      <alignment horizontal="left" vertical="center"/>
    </xf>
    <xf numFmtId="0" fontId="15" fillId="20" borderId="4" xfId="0" applyFont="1" applyFill="1" applyBorder="1" applyAlignment="1">
      <alignment horizontal="left" vertical="center"/>
    </xf>
    <xf numFmtId="0" fontId="16" fillId="21" borderId="4" xfId="0" applyFont="1" applyFill="1" applyBorder="1" applyAlignment="1">
      <alignment horizontal="left" vertical="center"/>
    </xf>
    <xf numFmtId="0" fontId="17" fillId="22" borderId="4" xfId="0" applyFont="1" applyFill="1" applyBorder="1" applyAlignment="1">
      <alignment horizontal="left" vertical="center"/>
    </xf>
    <xf numFmtId="0" fontId="22" fillId="6" borderId="0" xfId="0" applyFont="1" applyFill="1" applyAlignment="1">
      <alignment horizontal="center" vertical="center"/>
    </xf>
    <xf numFmtId="0" fontId="1" fillId="3" borderId="4" xfId="0" applyFont="1" applyFill="1" applyBorder="1" applyAlignment="1">
      <alignment horizontal="left" vertical="center"/>
    </xf>
    <xf numFmtId="164" fontId="8" fillId="19" borderId="4" xfId="0" applyNumberFormat="1" applyFont="1" applyFill="1" applyBorder="1" applyAlignment="1">
      <alignment horizontal="center" vertical="center"/>
    </xf>
    <xf numFmtId="0" fontId="4" fillId="16" borderId="0" xfId="0" applyFont="1" applyFill="1"/>
  </cellXfs>
  <cellStyles count="1">
    <cellStyle name="Normal" xfId="0" builtinId="0"/>
  </cellStyles>
  <dxfs count="4">
    <dxf>
      <fill>
        <patternFill>
          <bgColor rgb="FFD9D9D9"/>
        </patternFill>
      </fill>
    </dxf>
    <dxf>
      <fill>
        <patternFill>
          <bgColor rgb="FFFFC7CE"/>
        </patternFill>
      </fill>
    </dxf>
    <dxf>
      <fill>
        <patternFill>
          <bgColor rgb="FFFFEB9C"/>
        </patternFill>
      </fill>
    </dxf>
    <dxf>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9E6"/>
      <rgbColor rgb="FFFF00FF"/>
      <rgbColor rgb="FFF2F4F7"/>
      <rgbColor rgb="FF721C24"/>
      <rgbColor rgb="FF1E7E34"/>
      <rgbColor rgb="FF000080"/>
      <rgbColor rgb="FF9A6E0A"/>
      <rgbColor rgb="FF800080"/>
      <rgbColor rgb="FF00838F"/>
      <rgbColor rgb="FFBDC3CC"/>
      <rgbColor rgb="FF7D6608"/>
      <rgbColor rgb="FFD4EDDA"/>
      <rgbColor rgb="FF922B21"/>
      <rgbColor rgb="FFFFF3CD"/>
      <rgbColor rgb="FFE0F4F5"/>
      <rgbColor rgb="FF660066"/>
      <rgbColor rgb="FFFDF2F8"/>
      <rgbColor rgb="FF0066CC"/>
      <rgbColor rgb="FFD9D9D9"/>
      <rgbColor rgb="FF000080"/>
      <rgbColor rgb="FFFF00FF"/>
      <rgbColor rgb="FFFEF9E7"/>
      <rgbColor rgb="FFF8FBFF"/>
      <rgbColor rgb="FF800080"/>
      <rgbColor rgb="FF7D5A00"/>
      <rgbColor rgb="FF4A4E55"/>
      <rgbColor rgb="FF0000FF"/>
      <rgbColor rgb="FF00CCFF"/>
      <rgbColor rgb="FFE4F5E9"/>
      <rgbColor rgb="FFC6EFCE"/>
      <rgbColor rgb="FFFFEB9C"/>
      <rgbColor rgb="FFD6E8F7"/>
      <rgbColor rgb="FFFDEBD0"/>
      <rgbColor rgb="FFDDE5F5"/>
      <rgbColor rgb="FFFFC7CE"/>
      <rgbColor rgb="FF4A90D9"/>
      <rgbColor rgb="FFEBF4FF"/>
      <rgbColor rgb="FFE8F4FD"/>
      <rgbColor rgb="FFFDEDEC"/>
      <rgbColor rgb="FFFFF5F5"/>
      <rgbColor rgb="FFFAFAFA"/>
      <rgbColor rgb="FF2E5F8A"/>
      <rgbColor rgb="FF856404"/>
      <rgbColor rgb="FF1E3A6E"/>
      <rgbColor rgb="FFF8F9FA"/>
      <rgbColor rgb="FF155724"/>
      <rgbColor rgb="FF1A1A1A"/>
      <rgbColor rgb="FFA04000"/>
      <rgbColor rgb="FF76448A"/>
      <rgbColor rgb="FF1A5276"/>
      <rgbColor rgb="FF1B2A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48"/>
  <sheetViews>
    <sheetView showGridLines="0" tabSelected="1" zoomScaleNormal="100" workbookViewId="0">
      <selection activeCell="B2" sqref="B2:C8"/>
    </sheetView>
  </sheetViews>
  <sheetFormatPr baseColWidth="10" defaultColWidth="8.6640625" defaultRowHeight="14" x14ac:dyDescent="0.15"/>
  <cols>
    <col min="1" max="1" width="3" style="21" customWidth="1"/>
    <col min="2" max="2" width="31.5" style="21" customWidth="1"/>
    <col min="3" max="3" width="125.33203125" style="21" customWidth="1"/>
    <col min="4" max="4" width="3" style="21" customWidth="1"/>
    <col min="5" max="16384" width="8.6640625" style="21"/>
  </cols>
  <sheetData>
    <row r="1" spans="2:3" ht="7.5" customHeight="1" x14ac:dyDescent="0.15"/>
    <row r="2" spans="2:3" ht="21.75" customHeight="1" x14ac:dyDescent="0.15">
      <c r="B2" s="63" t="s">
        <v>0</v>
      </c>
      <c r="C2" s="63"/>
    </row>
    <row r="3" spans="2:3" ht="21.75" customHeight="1" x14ac:dyDescent="0.15">
      <c r="B3" s="63"/>
      <c r="C3" s="63"/>
    </row>
    <row r="4" spans="2:3" ht="21.75" customHeight="1" x14ac:dyDescent="0.15">
      <c r="B4" s="63"/>
      <c r="C4" s="63"/>
    </row>
    <row r="5" spans="2:3" ht="21.75" customHeight="1" x14ac:dyDescent="0.15">
      <c r="B5" s="63"/>
      <c r="C5" s="63"/>
    </row>
    <row r="6" spans="2:3" ht="21.75" customHeight="1" x14ac:dyDescent="0.15">
      <c r="B6" s="63"/>
      <c r="C6" s="63"/>
    </row>
    <row r="7" spans="2:3" ht="21.75" customHeight="1" x14ac:dyDescent="0.15">
      <c r="B7" s="63"/>
      <c r="C7" s="63"/>
    </row>
    <row r="8" spans="2:3" ht="21.75" customHeight="1" x14ac:dyDescent="0.15">
      <c r="B8" s="63"/>
      <c r="C8" s="63"/>
    </row>
    <row r="10" spans="2:3" ht="18" customHeight="1" x14ac:dyDescent="0.15">
      <c r="B10" s="1" t="s">
        <v>1</v>
      </c>
      <c r="C10" s="2" t="s">
        <v>2</v>
      </c>
    </row>
    <row r="11" spans="2:3" ht="18" customHeight="1" x14ac:dyDescent="0.15">
      <c r="B11" s="1" t="s">
        <v>3</v>
      </c>
      <c r="C11" s="2" t="s">
        <v>321</v>
      </c>
    </row>
    <row r="12" spans="2:3" ht="18" customHeight="1" x14ac:dyDescent="0.15">
      <c r="B12" s="1" t="s">
        <v>4</v>
      </c>
      <c r="C12" s="2" t="s">
        <v>5</v>
      </c>
    </row>
    <row r="13" spans="2:3" ht="18" customHeight="1" x14ac:dyDescent="0.15">
      <c r="B13" s="1" t="s">
        <v>6</v>
      </c>
      <c r="C13" s="2" t="s">
        <v>320</v>
      </c>
    </row>
    <row r="14" spans="2:3" ht="18" customHeight="1" x14ac:dyDescent="0.15">
      <c r="B14" s="1" t="s">
        <v>7</v>
      </c>
      <c r="C14" s="2" t="s">
        <v>323</v>
      </c>
    </row>
    <row r="15" spans="2:3" ht="18" customHeight="1" x14ac:dyDescent="0.15">
      <c r="B15" s="1" t="s">
        <v>8</v>
      </c>
      <c r="C15" s="2" t="s">
        <v>9</v>
      </c>
    </row>
    <row r="16" spans="2:3" ht="18" customHeight="1" x14ac:dyDescent="0.15">
      <c r="B16" s="1" t="s">
        <v>10</v>
      </c>
      <c r="C16" s="2" t="s">
        <v>11</v>
      </c>
    </row>
    <row r="17" spans="2:3" ht="18" x14ac:dyDescent="0.2">
      <c r="B17" s="3"/>
      <c r="C17" s="3"/>
    </row>
    <row r="18" spans="2:3" ht="19.5" customHeight="1" x14ac:dyDescent="0.15">
      <c r="B18" s="64" t="s">
        <v>12</v>
      </c>
      <c r="C18" s="64"/>
    </row>
    <row r="19" spans="2:3" ht="82" customHeight="1" x14ac:dyDescent="0.15">
      <c r="B19" s="65" t="s">
        <v>13</v>
      </c>
      <c r="C19" s="66"/>
    </row>
    <row r="20" spans="2:3" ht="18" x14ac:dyDescent="0.2">
      <c r="B20" s="3"/>
      <c r="C20" s="3"/>
    </row>
    <row r="21" spans="2:3" ht="19.5" customHeight="1" x14ac:dyDescent="0.15">
      <c r="B21" s="67" t="s">
        <v>14</v>
      </c>
      <c r="C21" s="67"/>
    </row>
    <row r="22" spans="2:3" ht="38" x14ac:dyDescent="0.15">
      <c r="B22" s="4" t="s">
        <v>15</v>
      </c>
      <c r="C22" s="4" t="s">
        <v>16</v>
      </c>
    </row>
    <row r="23" spans="2:3" ht="38" x14ac:dyDescent="0.15">
      <c r="B23" s="1" t="s">
        <v>17</v>
      </c>
      <c r="C23" s="5" t="s">
        <v>18</v>
      </c>
    </row>
    <row r="24" spans="2:3" ht="38" x14ac:dyDescent="0.15">
      <c r="B24" s="6" t="s">
        <v>19</v>
      </c>
      <c r="C24" s="7" t="s">
        <v>20</v>
      </c>
    </row>
    <row r="25" spans="2:3" ht="38" x14ac:dyDescent="0.15">
      <c r="B25" s="8" t="s">
        <v>21</v>
      </c>
      <c r="C25" s="5" t="s">
        <v>22</v>
      </c>
    </row>
    <row r="26" spans="2:3" ht="57" x14ac:dyDescent="0.15">
      <c r="B26" s="9" t="s">
        <v>23</v>
      </c>
      <c r="C26" s="7" t="s">
        <v>24</v>
      </c>
    </row>
    <row r="27" spans="2:3" ht="38" x14ac:dyDescent="0.15">
      <c r="B27" s="10" t="s">
        <v>25</v>
      </c>
      <c r="C27" s="5" t="s">
        <v>26</v>
      </c>
    </row>
    <row r="28" spans="2:3" ht="38" x14ac:dyDescent="0.15">
      <c r="B28" s="11" t="s">
        <v>27</v>
      </c>
      <c r="C28" s="7" t="s">
        <v>28</v>
      </c>
    </row>
    <row r="29" spans="2:3" ht="57" x14ac:dyDescent="0.15">
      <c r="B29" s="12" t="s">
        <v>29</v>
      </c>
      <c r="C29" s="5" t="s">
        <v>30</v>
      </c>
    </row>
    <row r="30" spans="2:3" ht="38" x14ac:dyDescent="0.15">
      <c r="B30" s="13" t="s">
        <v>31</v>
      </c>
      <c r="C30" s="7" t="s">
        <v>32</v>
      </c>
    </row>
    <row r="31" spans="2:3" ht="57" x14ac:dyDescent="0.15">
      <c r="B31" s="14" t="s">
        <v>33</v>
      </c>
      <c r="C31" s="5" t="s">
        <v>34</v>
      </c>
    </row>
    <row r="32" spans="2:3" ht="18" x14ac:dyDescent="0.2">
      <c r="B32" s="3"/>
      <c r="C32" s="3"/>
    </row>
    <row r="33" spans="2:3" ht="19.5" customHeight="1" x14ac:dyDescent="0.15">
      <c r="B33" s="68" t="s">
        <v>35</v>
      </c>
      <c r="C33" s="68"/>
    </row>
    <row r="34" spans="2:3" ht="34" customHeight="1" x14ac:dyDescent="0.15">
      <c r="B34" s="62" t="s">
        <v>36</v>
      </c>
      <c r="C34" s="62"/>
    </row>
    <row r="35" spans="2:3" ht="44" customHeight="1" x14ac:dyDescent="0.15">
      <c r="B35" s="62" t="s">
        <v>37</v>
      </c>
      <c r="C35" s="62"/>
    </row>
    <row r="36" spans="2:3" ht="27.75" customHeight="1" x14ac:dyDescent="0.15">
      <c r="B36" s="62" t="s">
        <v>38</v>
      </c>
      <c r="C36" s="62"/>
    </row>
    <row r="37" spans="2:3" ht="45" customHeight="1" x14ac:dyDescent="0.15">
      <c r="B37" s="62" t="s">
        <v>39</v>
      </c>
      <c r="C37" s="62"/>
    </row>
    <row r="38" spans="2:3" ht="27.75" customHeight="1" x14ac:dyDescent="0.15">
      <c r="B38" s="62" t="s">
        <v>40</v>
      </c>
      <c r="C38" s="62"/>
    </row>
    <row r="39" spans="2:3" ht="18" x14ac:dyDescent="0.2">
      <c r="B39" s="3"/>
      <c r="C39" s="3"/>
    </row>
    <row r="40" spans="2:3" ht="19.5" customHeight="1" x14ac:dyDescent="0.15">
      <c r="B40" s="59" t="s">
        <v>41</v>
      </c>
      <c r="C40" s="59"/>
    </row>
    <row r="41" spans="2:3" ht="30" customHeight="1" x14ac:dyDescent="0.15">
      <c r="B41" s="15" t="s">
        <v>42</v>
      </c>
      <c r="C41" s="16" t="s">
        <v>43</v>
      </c>
    </row>
    <row r="42" spans="2:3" ht="30" customHeight="1" x14ac:dyDescent="0.15">
      <c r="B42" s="17" t="s">
        <v>44</v>
      </c>
      <c r="C42" s="16" t="s">
        <v>45</v>
      </c>
    </row>
    <row r="43" spans="2:3" ht="30" customHeight="1" x14ac:dyDescent="0.15">
      <c r="B43" s="18" t="s">
        <v>46</v>
      </c>
      <c r="C43" s="16" t="s">
        <v>47</v>
      </c>
    </row>
    <row r="44" spans="2:3" ht="30" customHeight="1" x14ac:dyDescent="0.15">
      <c r="B44" s="19" t="s">
        <v>48</v>
      </c>
      <c r="C44" s="16" t="s">
        <v>49</v>
      </c>
    </row>
    <row r="45" spans="2:3" ht="30" customHeight="1" x14ac:dyDescent="0.15">
      <c r="B45" s="20" t="s">
        <v>50</v>
      </c>
      <c r="C45" s="16" t="s">
        <v>51</v>
      </c>
    </row>
    <row r="46" spans="2:3" ht="18" x14ac:dyDescent="0.2">
      <c r="B46" s="3"/>
      <c r="C46" s="3"/>
    </row>
    <row r="47" spans="2:3" ht="19.5" customHeight="1" x14ac:dyDescent="0.15">
      <c r="B47" s="60" t="s">
        <v>52</v>
      </c>
      <c r="C47" s="60"/>
    </row>
    <row r="48" spans="2:3" ht="234" customHeight="1" x14ac:dyDescent="0.15">
      <c r="B48" s="61" t="s">
        <v>53</v>
      </c>
      <c r="C48" s="61"/>
    </row>
  </sheetData>
  <mergeCells count="13">
    <mergeCell ref="B2:C8"/>
    <mergeCell ref="B18:C18"/>
    <mergeCell ref="B19:C19"/>
    <mergeCell ref="B21:C21"/>
    <mergeCell ref="B33:C33"/>
    <mergeCell ref="B40:C40"/>
    <mergeCell ref="B47:C47"/>
    <mergeCell ref="B48:C48"/>
    <mergeCell ref="B34:C34"/>
    <mergeCell ref="B35:C35"/>
    <mergeCell ref="B36:C36"/>
    <mergeCell ref="B37:C37"/>
    <mergeCell ref="B38:C3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0"/>
  <sheetViews>
    <sheetView showGridLines="0" zoomScaleNormal="100" workbookViewId="0">
      <pane xSplit="1" ySplit="2" topLeftCell="B3" activePane="bottomRight" state="frozen"/>
      <selection pane="topRight" activeCell="B1" sqref="B1"/>
      <selection pane="bottomLeft" activeCell="A3" sqref="A3"/>
      <selection pane="bottomRight" activeCell="B1" sqref="B1:L1"/>
    </sheetView>
  </sheetViews>
  <sheetFormatPr baseColWidth="10" defaultColWidth="8.6640625" defaultRowHeight="16" x14ac:dyDescent="0.2"/>
  <cols>
    <col min="1" max="1" width="3" style="23" customWidth="1"/>
    <col min="2" max="2" width="11" style="23" customWidth="1"/>
    <col min="3" max="3" width="30.33203125" style="23" customWidth="1"/>
    <col min="4" max="4" width="35.6640625" style="23" customWidth="1"/>
    <col min="5" max="5" width="71.5" style="23" customWidth="1"/>
    <col min="6" max="6" width="66.5" style="23" customWidth="1"/>
    <col min="7" max="7" width="14" style="23" customWidth="1"/>
    <col min="8" max="8" width="24" style="23" customWidth="1"/>
    <col min="9" max="9" width="22" style="23" customWidth="1"/>
    <col min="10" max="10" width="63.1640625" style="23" customWidth="1"/>
    <col min="11" max="11" width="22" style="23" customWidth="1"/>
    <col min="12" max="12" width="38" style="23" customWidth="1"/>
    <col min="13" max="13" width="3" style="23" customWidth="1"/>
    <col min="14" max="16384" width="8.6640625" style="23"/>
  </cols>
  <sheetData>
    <row r="1" spans="1:12" ht="55" customHeight="1" x14ac:dyDescent="0.2">
      <c r="A1" s="22"/>
      <c r="B1" s="69" t="s">
        <v>81</v>
      </c>
      <c r="C1" s="69"/>
      <c r="D1" s="69"/>
      <c r="E1" s="69"/>
      <c r="F1" s="69"/>
      <c r="G1" s="69"/>
      <c r="H1" s="69"/>
      <c r="I1" s="69"/>
      <c r="J1" s="69"/>
      <c r="K1" s="69"/>
      <c r="L1" s="69"/>
    </row>
    <row r="2" spans="1:12" ht="45" customHeight="1" x14ac:dyDescent="0.2">
      <c r="A2" s="22"/>
      <c r="B2" s="24" t="s">
        <v>82</v>
      </c>
      <c r="C2" s="24" t="s">
        <v>57</v>
      </c>
      <c r="D2" s="24" t="s">
        <v>83</v>
      </c>
      <c r="E2" s="24" t="s">
        <v>84</v>
      </c>
      <c r="F2" s="24" t="s">
        <v>85</v>
      </c>
      <c r="G2" s="24" t="s">
        <v>86</v>
      </c>
      <c r="H2" s="24" t="s">
        <v>87</v>
      </c>
      <c r="I2" s="24" t="s">
        <v>88</v>
      </c>
      <c r="J2" s="24" t="s">
        <v>89</v>
      </c>
      <c r="K2" s="24" t="s">
        <v>90</v>
      </c>
      <c r="L2" s="24" t="s">
        <v>91</v>
      </c>
    </row>
    <row r="3" spans="1:12" ht="109.5" customHeight="1" x14ac:dyDescent="0.2">
      <c r="A3" s="22"/>
      <c r="B3" s="25" t="s">
        <v>92</v>
      </c>
      <c r="C3" s="25" t="s">
        <v>64</v>
      </c>
      <c r="D3" s="26" t="s">
        <v>93</v>
      </c>
      <c r="E3" s="26" t="s">
        <v>94</v>
      </c>
      <c r="F3" s="26" t="s">
        <v>95</v>
      </c>
      <c r="G3" s="56" t="s">
        <v>96</v>
      </c>
      <c r="H3" s="26" t="s">
        <v>97</v>
      </c>
      <c r="I3" s="27" t="s">
        <v>98</v>
      </c>
      <c r="J3" s="26" t="s">
        <v>99</v>
      </c>
      <c r="K3" s="57" t="s">
        <v>50</v>
      </c>
      <c r="L3" s="26"/>
    </row>
    <row r="4" spans="1:12" ht="109.5" customHeight="1" x14ac:dyDescent="0.2">
      <c r="A4" s="22"/>
      <c r="B4" s="25" t="s">
        <v>100</v>
      </c>
      <c r="C4" s="25" t="s">
        <v>64</v>
      </c>
      <c r="D4" s="28" t="s">
        <v>101</v>
      </c>
      <c r="E4" s="28" t="s">
        <v>102</v>
      </c>
      <c r="F4" s="28" t="s">
        <v>103</v>
      </c>
      <c r="G4" s="56" t="s">
        <v>96</v>
      </c>
      <c r="H4" s="28" t="s">
        <v>104</v>
      </c>
      <c r="I4" s="27" t="s">
        <v>98</v>
      </c>
      <c r="J4" s="28" t="s">
        <v>105</v>
      </c>
      <c r="K4" s="57" t="s">
        <v>50</v>
      </c>
      <c r="L4" s="28"/>
    </row>
    <row r="5" spans="1:12" ht="109.5" customHeight="1" x14ac:dyDescent="0.2">
      <c r="A5" s="22"/>
      <c r="B5" s="25" t="s">
        <v>106</v>
      </c>
      <c r="C5" s="25" t="s">
        <v>64</v>
      </c>
      <c r="D5" s="26" t="s">
        <v>107</v>
      </c>
      <c r="E5" s="26" t="s">
        <v>108</v>
      </c>
      <c r="F5" s="26" t="s">
        <v>109</v>
      </c>
      <c r="G5" s="56" t="s">
        <v>96</v>
      </c>
      <c r="H5" s="26" t="s">
        <v>97</v>
      </c>
      <c r="I5" s="27" t="s">
        <v>98</v>
      </c>
      <c r="J5" s="26" t="s">
        <v>110</v>
      </c>
      <c r="K5" s="57" t="s">
        <v>50</v>
      </c>
      <c r="L5" s="26"/>
    </row>
    <row r="6" spans="1:12" ht="109.5" customHeight="1" x14ac:dyDescent="0.2">
      <c r="A6" s="22"/>
      <c r="B6" s="29" t="s">
        <v>111</v>
      </c>
      <c r="C6" s="29" t="s">
        <v>65</v>
      </c>
      <c r="D6" s="28" t="s">
        <v>112</v>
      </c>
      <c r="E6" s="28" t="s">
        <v>113</v>
      </c>
      <c r="F6" s="28" t="s">
        <v>114</v>
      </c>
      <c r="G6" s="56" t="s">
        <v>96</v>
      </c>
      <c r="H6" s="28" t="s">
        <v>115</v>
      </c>
      <c r="I6" s="27" t="s">
        <v>98</v>
      </c>
      <c r="J6" s="28" t="s">
        <v>116</v>
      </c>
      <c r="K6" s="57" t="s">
        <v>50</v>
      </c>
      <c r="L6" s="28"/>
    </row>
    <row r="7" spans="1:12" ht="109.5" customHeight="1" x14ac:dyDescent="0.2">
      <c r="A7" s="22"/>
      <c r="B7" s="29" t="s">
        <v>117</v>
      </c>
      <c r="C7" s="29" t="s">
        <v>65</v>
      </c>
      <c r="D7" s="26" t="s">
        <v>118</v>
      </c>
      <c r="E7" s="26" t="s">
        <v>119</v>
      </c>
      <c r="F7" s="26" t="s">
        <v>120</v>
      </c>
      <c r="G7" s="56" t="s">
        <v>96</v>
      </c>
      <c r="H7" s="26" t="s">
        <v>121</v>
      </c>
      <c r="I7" s="27" t="s">
        <v>98</v>
      </c>
      <c r="J7" s="26" t="s">
        <v>122</v>
      </c>
      <c r="K7" s="57" t="s">
        <v>50</v>
      </c>
      <c r="L7" s="26"/>
    </row>
    <row r="8" spans="1:12" ht="109.5" customHeight="1" x14ac:dyDescent="0.2">
      <c r="A8" s="22"/>
      <c r="B8" s="30" t="s">
        <v>123</v>
      </c>
      <c r="C8" s="30" t="s">
        <v>66</v>
      </c>
      <c r="D8" s="28" t="s">
        <v>124</v>
      </c>
      <c r="E8" s="28" t="s">
        <v>125</v>
      </c>
      <c r="F8" s="28" t="s">
        <v>126</v>
      </c>
      <c r="G8" s="56" t="s">
        <v>96</v>
      </c>
      <c r="H8" s="28" t="s">
        <v>127</v>
      </c>
      <c r="I8" s="27" t="s">
        <v>98</v>
      </c>
      <c r="J8" s="28" t="s">
        <v>128</v>
      </c>
      <c r="K8" s="57" t="s">
        <v>50</v>
      </c>
      <c r="L8" s="28"/>
    </row>
    <row r="9" spans="1:12" ht="109.5" customHeight="1" x14ac:dyDescent="0.2">
      <c r="A9" s="22"/>
      <c r="B9" s="30" t="s">
        <v>129</v>
      </c>
      <c r="C9" s="30" t="s">
        <v>66</v>
      </c>
      <c r="D9" s="26" t="s">
        <v>130</v>
      </c>
      <c r="E9" s="26" t="s">
        <v>131</v>
      </c>
      <c r="F9" s="26" t="s">
        <v>132</v>
      </c>
      <c r="G9" s="56" t="s">
        <v>96</v>
      </c>
      <c r="H9" s="26" t="s">
        <v>133</v>
      </c>
      <c r="I9" s="27" t="s">
        <v>98</v>
      </c>
      <c r="J9" s="26" t="s">
        <v>134</v>
      </c>
      <c r="K9" s="57" t="s">
        <v>50</v>
      </c>
      <c r="L9" s="26"/>
    </row>
    <row r="10" spans="1:12" ht="109.5" customHeight="1" x14ac:dyDescent="0.2">
      <c r="A10" s="22"/>
      <c r="B10" s="30" t="s">
        <v>135</v>
      </c>
      <c r="C10" s="30" t="s">
        <v>66</v>
      </c>
      <c r="D10" s="28" t="s">
        <v>136</v>
      </c>
      <c r="E10" s="28" t="s">
        <v>137</v>
      </c>
      <c r="F10" s="28" t="s">
        <v>138</v>
      </c>
      <c r="G10" s="56" t="s">
        <v>96</v>
      </c>
      <c r="H10" s="28" t="s">
        <v>139</v>
      </c>
      <c r="I10" s="27" t="s">
        <v>98</v>
      </c>
      <c r="J10" s="28" t="s">
        <v>140</v>
      </c>
      <c r="K10" s="57" t="s">
        <v>50</v>
      </c>
      <c r="L10" s="28"/>
    </row>
    <row r="11" spans="1:12" ht="109.5" customHeight="1" x14ac:dyDescent="0.2">
      <c r="A11" s="22"/>
      <c r="B11" s="30" t="s">
        <v>141</v>
      </c>
      <c r="C11" s="30" t="s">
        <v>66</v>
      </c>
      <c r="D11" s="26" t="s">
        <v>142</v>
      </c>
      <c r="E11" s="26" t="s">
        <v>143</v>
      </c>
      <c r="F11" s="26" t="s">
        <v>144</v>
      </c>
      <c r="G11" s="56" t="s">
        <v>96</v>
      </c>
      <c r="H11" s="26" t="s">
        <v>145</v>
      </c>
      <c r="I11" s="27" t="s">
        <v>98</v>
      </c>
      <c r="J11" s="26" t="s">
        <v>146</v>
      </c>
      <c r="K11" s="57" t="s">
        <v>50</v>
      </c>
      <c r="L11" s="26"/>
    </row>
    <row r="12" spans="1:12" ht="109.5" customHeight="1" x14ac:dyDescent="0.2">
      <c r="A12" s="22"/>
      <c r="B12" s="30" t="s">
        <v>147</v>
      </c>
      <c r="C12" s="30" t="s">
        <v>66</v>
      </c>
      <c r="D12" s="28" t="s">
        <v>148</v>
      </c>
      <c r="E12" s="28" t="s">
        <v>149</v>
      </c>
      <c r="F12" s="28" t="s">
        <v>150</v>
      </c>
      <c r="G12" s="56" t="s">
        <v>96</v>
      </c>
      <c r="H12" s="28" t="s">
        <v>151</v>
      </c>
      <c r="I12" s="27" t="s">
        <v>98</v>
      </c>
      <c r="J12" s="28" t="s">
        <v>152</v>
      </c>
      <c r="K12" s="57" t="s">
        <v>50</v>
      </c>
      <c r="L12" s="28"/>
    </row>
    <row r="13" spans="1:12" ht="109.5" customHeight="1" x14ac:dyDescent="0.2">
      <c r="A13" s="22"/>
      <c r="B13" s="31" t="s">
        <v>153</v>
      </c>
      <c r="C13" s="31" t="s">
        <v>67</v>
      </c>
      <c r="D13" s="26" t="s">
        <v>154</v>
      </c>
      <c r="E13" s="26" t="s">
        <v>155</v>
      </c>
      <c r="F13" s="26" t="s">
        <v>156</v>
      </c>
      <c r="G13" s="56" t="s">
        <v>96</v>
      </c>
      <c r="H13" s="26" t="s">
        <v>157</v>
      </c>
      <c r="I13" s="27" t="s">
        <v>98</v>
      </c>
      <c r="J13" s="26" t="s">
        <v>158</v>
      </c>
      <c r="K13" s="57" t="s">
        <v>50</v>
      </c>
      <c r="L13" s="26"/>
    </row>
    <row r="14" spans="1:12" ht="109.5" customHeight="1" x14ac:dyDescent="0.2">
      <c r="A14" s="22"/>
      <c r="B14" s="31" t="s">
        <v>159</v>
      </c>
      <c r="C14" s="31" t="s">
        <v>67</v>
      </c>
      <c r="D14" s="28" t="s">
        <v>160</v>
      </c>
      <c r="E14" s="28" t="s">
        <v>161</v>
      </c>
      <c r="F14" s="28" t="s">
        <v>162</v>
      </c>
      <c r="G14" s="56" t="s">
        <v>96</v>
      </c>
      <c r="H14" s="28" t="s">
        <v>163</v>
      </c>
      <c r="I14" s="27" t="s">
        <v>98</v>
      </c>
      <c r="J14" s="28" t="s">
        <v>164</v>
      </c>
      <c r="K14" s="57" t="s">
        <v>50</v>
      </c>
      <c r="L14" s="28"/>
    </row>
    <row r="15" spans="1:12" ht="109.5" customHeight="1" x14ac:dyDescent="0.2">
      <c r="A15" s="22"/>
      <c r="B15" s="31" t="s">
        <v>165</v>
      </c>
      <c r="C15" s="31" t="s">
        <v>67</v>
      </c>
      <c r="D15" s="26" t="s">
        <v>166</v>
      </c>
      <c r="E15" s="26" t="s">
        <v>167</v>
      </c>
      <c r="F15" s="26" t="s">
        <v>168</v>
      </c>
      <c r="G15" s="56" t="s">
        <v>96</v>
      </c>
      <c r="H15" s="26" t="s">
        <v>169</v>
      </c>
      <c r="I15" s="27" t="s">
        <v>98</v>
      </c>
      <c r="J15" s="26" t="s">
        <v>170</v>
      </c>
      <c r="K15" s="57" t="s">
        <v>50</v>
      </c>
      <c r="L15" s="26"/>
    </row>
    <row r="16" spans="1:12" ht="109.5" customHeight="1" x14ac:dyDescent="0.2">
      <c r="A16" s="22"/>
      <c r="B16" s="31" t="s">
        <v>171</v>
      </c>
      <c r="C16" s="31" t="s">
        <v>67</v>
      </c>
      <c r="D16" s="28" t="s">
        <v>172</v>
      </c>
      <c r="E16" s="28" t="s">
        <v>173</v>
      </c>
      <c r="F16" s="28" t="s">
        <v>174</v>
      </c>
      <c r="G16" s="56" t="s">
        <v>96</v>
      </c>
      <c r="H16" s="28" t="s">
        <v>175</v>
      </c>
      <c r="I16" s="27" t="s">
        <v>98</v>
      </c>
      <c r="J16" s="28" t="s">
        <v>176</v>
      </c>
      <c r="K16" s="57" t="s">
        <v>50</v>
      </c>
      <c r="L16" s="28"/>
    </row>
    <row r="17" spans="1:12" ht="109.5" customHeight="1" x14ac:dyDescent="0.2">
      <c r="A17" s="22"/>
      <c r="B17" s="32" t="s">
        <v>177</v>
      </c>
      <c r="C17" s="32" t="s">
        <v>68</v>
      </c>
      <c r="D17" s="26" t="s">
        <v>178</v>
      </c>
      <c r="E17" s="26" t="s">
        <v>179</v>
      </c>
      <c r="F17" s="26" t="s">
        <v>180</v>
      </c>
      <c r="G17" s="56" t="s">
        <v>96</v>
      </c>
      <c r="H17" s="26" t="s">
        <v>181</v>
      </c>
      <c r="I17" s="27" t="s">
        <v>98</v>
      </c>
      <c r="J17" s="26" t="s">
        <v>182</v>
      </c>
      <c r="K17" s="57" t="s">
        <v>50</v>
      </c>
      <c r="L17" s="26"/>
    </row>
    <row r="18" spans="1:12" ht="109.5" customHeight="1" x14ac:dyDescent="0.2">
      <c r="A18" s="22"/>
      <c r="B18" s="32" t="s">
        <v>183</v>
      </c>
      <c r="C18" s="32" t="s">
        <v>68</v>
      </c>
      <c r="D18" s="28" t="s">
        <v>184</v>
      </c>
      <c r="E18" s="28" t="s">
        <v>185</v>
      </c>
      <c r="F18" s="28" t="s">
        <v>186</v>
      </c>
      <c r="G18" s="56" t="s">
        <v>96</v>
      </c>
      <c r="H18" s="28" t="s">
        <v>187</v>
      </c>
      <c r="I18" s="27" t="s">
        <v>98</v>
      </c>
      <c r="J18" s="28" t="s">
        <v>188</v>
      </c>
      <c r="K18" s="57" t="s">
        <v>50</v>
      </c>
      <c r="L18" s="28"/>
    </row>
    <row r="19" spans="1:12" ht="109.5" customHeight="1" x14ac:dyDescent="0.2">
      <c r="A19" s="22"/>
      <c r="B19" s="32" t="s">
        <v>189</v>
      </c>
      <c r="C19" s="32" t="s">
        <v>68</v>
      </c>
      <c r="D19" s="26" t="s">
        <v>190</v>
      </c>
      <c r="E19" s="26" t="s">
        <v>191</v>
      </c>
      <c r="F19" s="26" t="s">
        <v>192</v>
      </c>
      <c r="G19" s="56" t="s">
        <v>96</v>
      </c>
      <c r="H19" s="26" t="s">
        <v>187</v>
      </c>
      <c r="I19" s="27" t="s">
        <v>98</v>
      </c>
      <c r="J19" s="26" t="s">
        <v>193</v>
      </c>
      <c r="K19" s="57" t="s">
        <v>50</v>
      </c>
      <c r="L19" s="26"/>
    </row>
    <row r="20" spans="1:12" ht="109.5" customHeight="1" x14ac:dyDescent="0.2">
      <c r="A20" s="22"/>
      <c r="B20" s="32" t="s">
        <v>194</v>
      </c>
      <c r="C20" s="32" t="s">
        <v>68</v>
      </c>
      <c r="D20" s="28" t="s">
        <v>195</v>
      </c>
      <c r="E20" s="28" t="s">
        <v>196</v>
      </c>
      <c r="F20" s="28" t="s">
        <v>197</v>
      </c>
      <c r="G20" s="56" t="s">
        <v>96</v>
      </c>
      <c r="H20" s="28" t="s">
        <v>198</v>
      </c>
      <c r="I20" s="27" t="s">
        <v>98</v>
      </c>
      <c r="J20" s="28" t="s">
        <v>199</v>
      </c>
      <c r="K20" s="57" t="s">
        <v>50</v>
      </c>
      <c r="L20" s="28"/>
    </row>
    <row r="21" spans="1:12" ht="109.5" customHeight="1" x14ac:dyDescent="0.2">
      <c r="A21" s="22"/>
      <c r="B21" s="32" t="s">
        <v>200</v>
      </c>
      <c r="C21" s="32" t="s">
        <v>68</v>
      </c>
      <c r="D21" s="26" t="s">
        <v>201</v>
      </c>
      <c r="E21" s="26" t="s">
        <v>202</v>
      </c>
      <c r="F21" s="26" t="s">
        <v>203</v>
      </c>
      <c r="G21" s="56" t="s">
        <v>96</v>
      </c>
      <c r="H21" s="26" t="s">
        <v>204</v>
      </c>
      <c r="I21" s="27" t="s">
        <v>98</v>
      </c>
      <c r="J21" s="26" t="s">
        <v>205</v>
      </c>
      <c r="K21" s="57" t="s">
        <v>50</v>
      </c>
      <c r="L21" s="26"/>
    </row>
    <row r="22" spans="1:12" ht="109.5" customHeight="1" x14ac:dyDescent="0.2">
      <c r="A22" s="22"/>
      <c r="B22" s="32" t="s">
        <v>206</v>
      </c>
      <c r="C22" s="32" t="s">
        <v>68</v>
      </c>
      <c r="D22" s="28" t="s">
        <v>207</v>
      </c>
      <c r="E22" s="28" t="s">
        <v>208</v>
      </c>
      <c r="F22" s="28" t="s">
        <v>209</v>
      </c>
      <c r="G22" s="56" t="s">
        <v>96</v>
      </c>
      <c r="H22" s="28" t="s">
        <v>210</v>
      </c>
      <c r="I22" s="27" t="s">
        <v>98</v>
      </c>
      <c r="J22" s="28" t="s">
        <v>211</v>
      </c>
      <c r="K22" s="57" t="s">
        <v>50</v>
      </c>
      <c r="L22" s="28"/>
    </row>
    <row r="23" spans="1:12" ht="109.5" customHeight="1" x14ac:dyDescent="0.2">
      <c r="A23" s="22"/>
      <c r="B23" s="32" t="s">
        <v>212</v>
      </c>
      <c r="C23" s="32" t="s">
        <v>68</v>
      </c>
      <c r="D23" s="26" t="s">
        <v>213</v>
      </c>
      <c r="E23" s="26" t="s">
        <v>214</v>
      </c>
      <c r="F23" s="26" t="s">
        <v>215</v>
      </c>
      <c r="G23" s="56" t="s">
        <v>96</v>
      </c>
      <c r="H23" s="26" t="s">
        <v>216</v>
      </c>
      <c r="I23" s="27" t="s">
        <v>98</v>
      </c>
      <c r="J23" s="26" t="s">
        <v>217</v>
      </c>
      <c r="K23" s="57" t="s">
        <v>50</v>
      </c>
      <c r="L23" s="26"/>
    </row>
    <row r="24" spans="1:12" ht="109.5" customHeight="1" x14ac:dyDescent="0.2">
      <c r="A24" s="22"/>
      <c r="B24" s="32" t="s">
        <v>218</v>
      </c>
      <c r="C24" s="32" t="s">
        <v>68</v>
      </c>
      <c r="D24" s="28" t="s">
        <v>219</v>
      </c>
      <c r="E24" s="28" t="s">
        <v>220</v>
      </c>
      <c r="F24" s="28" t="s">
        <v>221</v>
      </c>
      <c r="G24" s="56" t="s">
        <v>96</v>
      </c>
      <c r="H24" s="28" t="s">
        <v>222</v>
      </c>
      <c r="I24" s="27" t="s">
        <v>98</v>
      </c>
      <c r="J24" s="28" t="s">
        <v>223</v>
      </c>
      <c r="K24" s="57" t="s">
        <v>50</v>
      </c>
      <c r="L24" s="28"/>
    </row>
    <row r="25" spans="1:12" ht="109.5" customHeight="1" x14ac:dyDescent="0.2">
      <c r="A25" s="22"/>
      <c r="B25" s="32" t="s">
        <v>224</v>
      </c>
      <c r="C25" s="32" t="s">
        <v>68</v>
      </c>
      <c r="D25" s="26" t="s">
        <v>225</v>
      </c>
      <c r="E25" s="26" t="s">
        <v>226</v>
      </c>
      <c r="F25" s="26" t="s">
        <v>227</v>
      </c>
      <c r="G25" s="56" t="s">
        <v>96</v>
      </c>
      <c r="H25" s="26" t="s">
        <v>228</v>
      </c>
      <c r="I25" s="27" t="s">
        <v>98</v>
      </c>
      <c r="J25" s="26" t="s">
        <v>229</v>
      </c>
      <c r="K25" s="57" t="s">
        <v>50</v>
      </c>
      <c r="L25" s="26"/>
    </row>
    <row r="26" spans="1:12" ht="109.5" customHeight="1" x14ac:dyDescent="0.2">
      <c r="A26" s="22"/>
      <c r="B26" s="33" t="s">
        <v>230</v>
      </c>
      <c r="C26" s="33" t="s">
        <v>69</v>
      </c>
      <c r="D26" s="28" t="s">
        <v>231</v>
      </c>
      <c r="E26" s="28" t="s">
        <v>232</v>
      </c>
      <c r="F26" s="28" t="s">
        <v>233</v>
      </c>
      <c r="G26" s="56" t="s">
        <v>96</v>
      </c>
      <c r="H26" s="28" t="s">
        <v>234</v>
      </c>
      <c r="I26" s="27" t="s">
        <v>98</v>
      </c>
      <c r="J26" s="28" t="s">
        <v>235</v>
      </c>
      <c r="K26" s="57" t="s">
        <v>50</v>
      </c>
      <c r="L26" s="28"/>
    </row>
    <row r="27" spans="1:12" ht="109.5" customHeight="1" x14ac:dyDescent="0.2">
      <c r="A27" s="22"/>
      <c r="B27" s="33" t="s">
        <v>236</v>
      </c>
      <c r="C27" s="33" t="s">
        <v>69</v>
      </c>
      <c r="D27" s="26" t="s">
        <v>237</v>
      </c>
      <c r="E27" s="26" t="s">
        <v>238</v>
      </c>
      <c r="F27" s="26" t="s">
        <v>239</v>
      </c>
      <c r="G27" s="56" t="s">
        <v>96</v>
      </c>
      <c r="H27" s="26" t="s">
        <v>240</v>
      </c>
      <c r="I27" s="27" t="s">
        <v>98</v>
      </c>
      <c r="J27" s="26" t="s">
        <v>241</v>
      </c>
      <c r="K27" s="57" t="s">
        <v>50</v>
      </c>
      <c r="L27" s="26"/>
    </row>
    <row r="28" spans="1:12" ht="109.5" customHeight="1" x14ac:dyDescent="0.2">
      <c r="A28" s="22"/>
      <c r="B28" s="33" t="s">
        <v>242</v>
      </c>
      <c r="C28" s="33" t="s">
        <v>69</v>
      </c>
      <c r="D28" s="28" t="s">
        <v>243</v>
      </c>
      <c r="E28" s="28" t="s">
        <v>244</v>
      </c>
      <c r="F28" s="28" t="s">
        <v>245</v>
      </c>
      <c r="G28" s="56" t="s">
        <v>96</v>
      </c>
      <c r="H28" s="28" t="s">
        <v>246</v>
      </c>
      <c r="I28" s="27" t="s">
        <v>98</v>
      </c>
      <c r="J28" s="28" t="s">
        <v>247</v>
      </c>
      <c r="K28" s="57" t="s">
        <v>50</v>
      </c>
      <c r="L28" s="28"/>
    </row>
    <row r="29" spans="1:12" ht="109.5" customHeight="1" x14ac:dyDescent="0.2">
      <c r="A29" s="22"/>
      <c r="B29" s="33" t="s">
        <v>248</v>
      </c>
      <c r="C29" s="33" t="s">
        <v>69</v>
      </c>
      <c r="D29" s="26" t="s">
        <v>249</v>
      </c>
      <c r="E29" s="26" t="s">
        <v>250</v>
      </c>
      <c r="F29" s="26" t="s">
        <v>251</v>
      </c>
      <c r="G29" s="56" t="s">
        <v>96</v>
      </c>
      <c r="H29" s="26" t="s">
        <v>133</v>
      </c>
      <c r="I29" s="27" t="s">
        <v>98</v>
      </c>
      <c r="J29" s="26" t="s">
        <v>252</v>
      </c>
      <c r="K29" s="57" t="s">
        <v>50</v>
      </c>
      <c r="L29" s="26"/>
    </row>
    <row r="30" spans="1:12" ht="109.5" customHeight="1" x14ac:dyDescent="0.2">
      <c r="A30" s="22"/>
      <c r="B30" s="33" t="s">
        <v>253</v>
      </c>
      <c r="C30" s="33" t="s">
        <v>69</v>
      </c>
      <c r="D30" s="28" t="s">
        <v>254</v>
      </c>
      <c r="E30" s="28" t="s">
        <v>255</v>
      </c>
      <c r="F30" s="28" t="s">
        <v>256</v>
      </c>
      <c r="G30" s="56" t="s">
        <v>96</v>
      </c>
      <c r="H30" s="28" t="s">
        <v>257</v>
      </c>
      <c r="I30" s="27" t="s">
        <v>98</v>
      </c>
      <c r="J30" s="28" t="s">
        <v>258</v>
      </c>
      <c r="K30" s="57" t="s">
        <v>50</v>
      </c>
      <c r="L30" s="28"/>
    </row>
    <row r="31" spans="1:12" ht="109.5" customHeight="1" x14ac:dyDescent="0.2">
      <c r="A31" s="22"/>
      <c r="B31" s="34" t="s">
        <v>259</v>
      </c>
      <c r="C31" s="34" t="s">
        <v>70</v>
      </c>
      <c r="D31" s="26" t="s">
        <v>260</v>
      </c>
      <c r="E31" s="26" t="s">
        <v>261</v>
      </c>
      <c r="F31" s="26" t="s">
        <v>262</v>
      </c>
      <c r="G31" s="56" t="s">
        <v>96</v>
      </c>
      <c r="H31" s="26" t="s">
        <v>263</v>
      </c>
      <c r="I31" s="27" t="s">
        <v>98</v>
      </c>
      <c r="J31" s="26" t="s">
        <v>264</v>
      </c>
      <c r="K31" s="57" t="s">
        <v>50</v>
      </c>
      <c r="L31" s="26"/>
    </row>
    <row r="32" spans="1:12" ht="109.5" customHeight="1" x14ac:dyDescent="0.2">
      <c r="A32" s="22"/>
      <c r="B32" s="34" t="s">
        <v>265</v>
      </c>
      <c r="C32" s="34" t="s">
        <v>70</v>
      </c>
      <c r="D32" s="28" t="s">
        <v>266</v>
      </c>
      <c r="E32" s="28" t="s">
        <v>267</v>
      </c>
      <c r="F32" s="28" t="s">
        <v>268</v>
      </c>
      <c r="G32" s="58" t="s">
        <v>269</v>
      </c>
      <c r="H32" s="28" t="s">
        <v>270</v>
      </c>
      <c r="I32" s="27" t="s">
        <v>98</v>
      </c>
      <c r="J32" s="28" t="s">
        <v>271</v>
      </c>
      <c r="K32" s="57" t="s">
        <v>50</v>
      </c>
      <c r="L32" s="28"/>
    </row>
    <row r="33" spans="1:12" ht="109.5" customHeight="1" x14ac:dyDescent="0.2">
      <c r="A33" s="22"/>
      <c r="B33" s="34" t="s">
        <v>272</v>
      </c>
      <c r="C33" s="34" t="s">
        <v>70</v>
      </c>
      <c r="D33" s="26" t="s">
        <v>273</v>
      </c>
      <c r="E33" s="26" t="s">
        <v>274</v>
      </c>
      <c r="F33" s="26" t="s">
        <v>275</v>
      </c>
      <c r="G33" s="56" t="s">
        <v>96</v>
      </c>
      <c r="H33" s="26" t="s">
        <v>276</v>
      </c>
      <c r="I33" s="27" t="s">
        <v>98</v>
      </c>
      <c r="J33" s="26" t="s">
        <v>277</v>
      </c>
      <c r="K33" s="57" t="s">
        <v>50</v>
      </c>
      <c r="L33" s="26"/>
    </row>
    <row r="34" spans="1:12" ht="109.5" customHeight="1" x14ac:dyDescent="0.2">
      <c r="A34" s="22"/>
      <c r="B34" s="34" t="s">
        <v>278</v>
      </c>
      <c r="C34" s="34" t="s">
        <v>70</v>
      </c>
      <c r="D34" s="28" t="s">
        <v>279</v>
      </c>
      <c r="E34" s="28" t="s">
        <v>280</v>
      </c>
      <c r="F34" s="28" t="s">
        <v>281</v>
      </c>
      <c r="G34" s="56" t="s">
        <v>96</v>
      </c>
      <c r="H34" s="28" t="s">
        <v>282</v>
      </c>
      <c r="I34" s="27" t="s">
        <v>98</v>
      </c>
      <c r="J34" s="28" t="s">
        <v>283</v>
      </c>
      <c r="K34" s="57" t="s">
        <v>50</v>
      </c>
      <c r="L34" s="28"/>
    </row>
    <row r="35" spans="1:12" ht="109.5" customHeight="1" x14ac:dyDescent="0.2">
      <c r="A35" s="22"/>
      <c r="B35" s="35" t="s">
        <v>284</v>
      </c>
      <c r="C35" s="35" t="s">
        <v>71</v>
      </c>
      <c r="D35" s="26" t="s">
        <v>285</v>
      </c>
      <c r="E35" s="26" t="s">
        <v>286</v>
      </c>
      <c r="F35" s="26" t="s">
        <v>287</v>
      </c>
      <c r="G35" s="56" t="s">
        <v>96</v>
      </c>
      <c r="H35" s="26" t="s">
        <v>288</v>
      </c>
      <c r="I35" s="27" t="s">
        <v>98</v>
      </c>
      <c r="J35" s="26" t="s">
        <v>289</v>
      </c>
      <c r="K35" s="57" t="s">
        <v>50</v>
      </c>
      <c r="L35" s="26"/>
    </row>
    <row r="36" spans="1:12" ht="109.5" customHeight="1" x14ac:dyDescent="0.2">
      <c r="A36" s="22"/>
      <c r="B36" s="35" t="s">
        <v>290</v>
      </c>
      <c r="C36" s="35" t="s">
        <v>71</v>
      </c>
      <c r="D36" s="28" t="s">
        <v>291</v>
      </c>
      <c r="E36" s="28" t="s">
        <v>292</v>
      </c>
      <c r="F36" s="28" t="s">
        <v>293</v>
      </c>
      <c r="G36" s="56" t="s">
        <v>96</v>
      </c>
      <c r="H36" s="28" t="s">
        <v>294</v>
      </c>
      <c r="I36" s="27" t="s">
        <v>98</v>
      </c>
      <c r="J36" s="28" t="s">
        <v>295</v>
      </c>
      <c r="K36" s="57" t="s">
        <v>50</v>
      </c>
      <c r="L36" s="28"/>
    </row>
    <row r="37" spans="1:12" ht="109.5" customHeight="1" x14ac:dyDescent="0.2">
      <c r="A37" s="22"/>
      <c r="B37" s="35" t="s">
        <v>296</v>
      </c>
      <c r="C37" s="35" t="s">
        <v>71</v>
      </c>
      <c r="D37" s="26" t="s">
        <v>297</v>
      </c>
      <c r="E37" s="26" t="s">
        <v>298</v>
      </c>
      <c r="F37" s="26" t="s">
        <v>299</v>
      </c>
      <c r="G37" s="56" t="s">
        <v>96</v>
      </c>
      <c r="H37" s="26" t="s">
        <v>300</v>
      </c>
      <c r="I37" s="27" t="s">
        <v>98</v>
      </c>
      <c r="J37" s="26" t="s">
        <v>301</v>
      </c>
      <c r="K37" s="57" t="s">
        <v>50</v>
      </c>
      <c r="L37" s="26"/>
    </row>
    <row r="38" spans="1:12" ht="109.5" customHeight="1" x14ac:dyDescent="0.2">
      <c r="A38" s="22"/>
      <c r="B38" s="36" t="s">
        <v>302</v>
      </c>
      <c r="C38" s="36" t="s">
        <v>72</v>
      </c>
      <c r="D38" s="28" t="s">
        <v>303</v>
      </c>
      <c r="E38" s="28" t="s">
        <v>304</v>
      </c>
      <c r="F38" s="28" t="s">
        <v>305</v>
      </c>
      <c r="G38" s="56" t="s">
        <v>96</v>
      </c>
      <c r="H38" s="28" t="s">
        <v>306</v>
      </c>
      <c r="I38" s="27" t="s">
        <v>98</v>
      </c>
      <c r="J38" s="28" t="s">
        <v>307</v>
      </c>
      <c r="K38" s="57" t="s">
        <v>50</v>
      </c>
      <c r="L38" s="28"/>
    </row>
    <row r="39" spans="1:12" ht="109.5" customHeight="1" x14ac:dyDescent="0.2">
      <c r="A39" s="22"/>
      <c r="B39" s="36" t="s">
        <v>308</v>
      </c>
      <c r="C39" s="36" t="s">
        <v>72</v>
      </c>
      <c r="D39" s="26" t="s">
        <v>309</v>
      </c>
      <c r="E39" s="26" t="s">
        <v>310</v>
      </c>
      <c r="F39" s="26" t="s">
        <v>311</v>
      </c>
      <c r="G39" s="56" t="s">
        <v>96</v>
      </c>
      <c r="H39" s="26" t="s">
        <v>312</v>
      </c>
      <c r="I39" s="27" t="s">
        <v>98</v>
      </c>
      <c r="J39" s="26" t="s">
        <v>313</v>
      </c>
      <c r="K39" s="57" t="s">
        <v>50</v>
      </c>
      <c r="L39" s="26"/>
    </row>
    <row r="40" spans="1:12" ht="109.5" customHeight="1" x14ac:dyDescent="0.2">
      <c r="A40" s="22"/>
      <c r="B40" s="36" t="s">
        <v>314</v>
      </c>
      <c r="C40" s="36" t="s">
        <v>72</v>
      </c>
      <c r="D40" s="28" t="s">
        <v>315</v>
      </c>
      <c r="E40" s="28" t="s">
        <v>316</v>
      </c>
      <c r="F40" s="28" t="s">
        <v>317</v>
      </c>
      <c r="G40" s="58" t="s">
        <v>269</v>
      </c>
      <c r="H40" s="28" t="s">
        <v>318</v>
      </c>
      <c r="I40" s="27" t="s">
        <v>98</v>
      </c>
      <c r="J40" s="28" t="s">
        <v>319</v>
      </c>
      <c r="K40" s="57" t="s">
        <v>50</v>
      </c>
      <c r="L40" s="28"/>
    </row>
  </sheetData>
  <mergeCells count="1">
    <mergeCell ref="B1:L1"/>
  </mergeCells>
  <conditionalFormatting sqref="K3:K40">
    <cfRule type="cellIs" dxfId="3" priority="2" operator="equal">
      <formula>"Conformity"</formula>
    </cfRule>
    <cfRule type="cellIs" dxfId="2" priority="3" operator="equal">
      <formula>"Partial Conformity"</formula>
    </cfRule>
    <cfRule type="cellIs" dxfId="1" priority="4" operator="equal">
      <formula>"Non-Conformity"</formula>
    </cfRule>
    <cfRule type="cellIs" dxfId="0" priority="5" operator="equal">
      <formula>"Not Applicable"</formula>
    </cfRule>
  </conditionalFormatting>
  <dataValidations count="2">
    <dataValidation type="list" allowBlank="1" sqref="K3:K40" xr:uid="{00000000-0002-0000-0200-000000000000}">
      <formula1>"Conformity,Partial Conformity,Non-Conformity,Not Applicable,Not Assessed"</formula1>
      <formula2>0</formula2>
    </dataValidation>
    <dataValidation type="list" allowBlank="1" sqref="I3:I40" xr:uid="{00000000-0002-0000-0200-000001000000}">
      <formula1>"Yes – Applicable,No – Not Applicable,Partially Applicable"</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M31"/>
  <sheetViews>
    <sheetView showGridLines="0" zoomScaleNormal="100" workbookViewId="0">
      <selection activeCell="B11" sqref="B11:I11"/>
    </sheetView>
  </sheetViews>
  <sheetFormatPr baseColWidth="10" defaultColWidth="8.6640625" defaultRowHeight="18" x14ac:dyDescent="0.2"/>
  <cols>
    <col min="1" max="1" width="2" style="3" customWidth="1"/>
    <col min="2" max="2" width="25" style="3" bestFit="1" customWidth="1"/>
    <col min="3" max="3" width="12.6640625" style="3" bestFit="1" customWidth="1"/>
    <col min="4" max="4" width="20.1640625" style="3" bestFit="1" customWidth="1"/>
    <col min="5" max="5" width="18" style="3" bestFit="1" customWidth="1"/>
    <col min="6" max="6" width="16.5" style="3" bestFit="1" customWidth="1"/>
    <col min="7" max="7" width="15.6640625" style="3" bestFit="1" customWidth="1"/>
    <col min="8" max="8" width="12.33203125" style="3" bestFit="1" customWidth="1"/>
    <col min="9" max="13" width="14" style="3" customWidth="1"/>
    <col min="14" max="14" width="2" style="3" customWidth="1"/>
    <col min="15" max="16384" width="8.6640625" style="3"/>
  </cols>
  <sheetData>
    <row r="1" spans="2:13" ht="31.5" customHeight="1" x14ac:dyDescent="0.2">
      <c r="B1" s="69" t="s">
        <v>54</v>
      </c>
      <c r="C1" s="69"/>
      <c r="D1" s="69"/>
      <c r="E1" s="69"/>
      <c r="F1" s="69"/>
      <c r="G1" s="69"/>
      <c r="H1" s="69"/>
      <c r="I1" s="69"/>
      <c r="J1" s="69"/>
      <c r="K1" s="69"/>
      <c r="L1" s="69"/>
      <c r="M1" s="69"/>
    </row>
    <row r="2" spans="2:13" ht="18" customHeight="1" x14ac:dyDescent="0.2">
      <c r="B2" s="76" t="s">
        <v>322</v>
      </c>
      <c r="C2" s="76"/>
      <c r="D2" s="76"/>
      <c r="E2" s="76"/>
      <c r="F2" s="76"/>
      <c r="G2" s="76"/>
      <c r="H2" s="76"/>
      <c r="I2" s="76"/>
      <c r="J2" s="76"/>
      <c r="K2" s="76"/>
      <c r="L2" s="76"/>
      <c r="M2" s="76"/>
    </row>
    <row r="4" spans="2:13" ht="12" customHeight="1" x14ac:dyDescent="0.2"/>
    <row r="5" spans="2:13" ht="43.5" customHeight="1" x14ac:dyDescent="0.2">
      <c r="B5" s="37">
        <f>38</f>
        <v>38</v>
      </c>
      <c r="C5" s="38">
        <f>COUNTIF('🔍 Controls Checklist'!K3:K40,"Conformity")</f>
        <v>0</v>
      </c>
      <c r="D5" s="39">
        <f>COUNTIF('🔍 Controls Checklist'!K3:K40,"Partial Conformity")</f>
        <v>0</v>
      </c>
      <c r="E5" s="40">
        <f>COUNTIF('🔍 Controls Checklist'!K3:K40,"Non-Conformity")</f>
        <v>0</v>
      </c>
      <c r="F5" s="41">
        <f>COUNTIF('🔍 Controls Checklist'!K3:K40,"Not Applicable")</f>
        <v>0</v>
      </c>
      <c r="G5" s="42">
        <f>COUNTIF('🔍 Controls Checklist'!K3:K40,"Not Assessed")</f>
        <v>38</v>
      </c>
    </row>
    <row r="6" spans="2:13" ht="27.75" customHeight="1" x14ac:dyDescent="0.2">
      <c r="B6" s="43" t="s">
        <v>55</v>
      </c>
      <c r="C6" s="44" t="s">
        <v>42</v>
      </c>
      <c r="D6" s="45" t="s">
        <v>44</v>
      </c>
      <c r="E6" s="46" t="s">
        <v>46</v>
      </c>
      <c r="F6" s="47" t="s">
        <v>48</v>
      </c>
      <c r="G6" s="48" t="s">
        <v>50</v>
      </c>
    </row>
    <row r="7" spans="2:13" ht="12" customHeight="1" x14ac:dyDescent="0.2"/>
    <row r="8" spans="2:13" ht="7.5" customHeight="1" x14ac:dyDescent="0.2"/>
    <row r="9" spans="2:13" ht="21.75" customHeight="1" x14ac:dyDescent="0.2">
      <c r="B9" s="77" t="s">
        <v>56</v>
      </c>
      <c r="C9" s="77"/>
      <c r="D9" s="77"/>
      <c r="E9" s="78">
        <f>IFERROR((COUNTIF('🔍 Controls Checklist'!K3:K40,"Conformity")+0.5*COUNTIF('🔍 Controls Checklist'!K3:K40,"Partial Conformity"))/(MAX(38-COUNTIF('🔍 Controls Checklist'!K3:K40,"Not Applicable"),1)),0)</f>
        <v>0</v>
      </c>
      <c r="F9" s="78"/>
      <c r="G9" s="78"/>
    </row>
    <row r="11" spans="2:13" ht="25" customHeight="1" x14ac:dyDescent="0.2">
      <c r="B11" s="79" t="s">
        <v>324</v>
      </c>
      <c r="C11" s="79"/>
      <c r="D11" s="79"/>
      <c r="E11" s="79"/>
      <c r="F11" s="79"/>
      <c r="G11" s="79"/>
      <c r="H11" s="79"/>
      <c r="I11" s="79"/>
    </row>
    <row r="12" spans="2:13" ht="39.75" customHeight="1" x14ac:dyDescent="0.2">
      <c r="B12" s="4" t="s">
        <v>57</v>
      </c>
      <c r="C12" s="4" t="s">
        <v>58</v>
      </c>
      <c r="D12" s="4" t="s">
        <v>42</v>
      </c>
      <c r="E12" s="4" t="s">
        <v>59</v>
      </c>
      <c r="F12" s="4" t="s">
        <v>60</v>
      </c>
      <c r="G12" s="4" t="s">
        <v>61</v>
      </c>
      <c r="H12" s="4" t="s">
        <v>62</v>
      </c>
      <c r="I12" s="4" t="s">
        <v>63</v>
      </c>
    </row>
    <row r="13" spans="2:13" ht="38" x14ac:dyDescent="0.2">
      <c r="B13" s="1" t="s">
        <v>64</v>
      </c>
      <c r="C13" s="49">
        <v>3</v>
      </c>
      <c r="D13" s="49">
        <f>COUNTIF('🔍 Controls Checklist'!K3,"Conformity")+COUNTIF('🔍 Controls Checklist'!K4,"Conformity")+COUNTIF('🔍 Controls Checklist'!K5,"Conformity")</f>
        <v>0</v>
      </c>
      <c r="E13" s="49">
        <f>COUNTIF('🔍 Controls Checklist'!K3,"Partial Conformity")+COUNTIF('🔍 Controls Checklist'!K4,"Partial Conformity")+COUNTIF('🔍 Controls Checklist'!K5,"Partial Conformity")</f>
        <v>0</v>
      </c>
      <c r="F13" s="49">
        <f>COUNTIF('🔍 Controls Checklist'!K3,"Non-Conformity")+COUNTIF('🔍 Controls Checklist'!K4,"Non-Conformity")+COUNTIF('🔍 Controls Checklist'!K5,"Non-Conformity")</f>
        <v>0</v>
      </c>
      <c r="G13" s="49">
        <f>COUNTIF('🔍 Controls Checklist'!K3,"Not Applicable")+COUNTIF('🔍 Controls Checklist'!K4,"Not Applicable")+COUNTIF('🔍 Controls Checklist'!K5,"Not Applicable")</f>
        <v>0</v>
      </c>
      <c r="H13" s="49">
        <f>COUNTIF('🔍 Controls Checklist'!K3,"Not Assessed")+COUNTIF('🔍 Controls Checklist'!K4,"Not Assessed")+COUNTIF('🔍 Controls Checklist'!K5,"Not Assessed")</f>
        <v>3</v>
      </c>
      <c r="I13" s="50">
        <f>IFERROR((D13+0.5*E13)/(MAX(3-G13,1)),0)</f>
        <v>0</v>
      </c>
    </row>
    <row r="14" spans="2:13" ht="38" x14ac:dyDescent="0.2">
      <c r="B14" s="6" t="s">
        <v>65</v>
      </c>
      <c r="C14" s="51">
        <v>2</v>
      </c>
      <c r="D14" s="51">
        <f>COUNTIF('🔍 Controls Checklist'!K6,"Conformity")+COUNTIF('🔍 Controls Checklist'!K7,"Conformity")</f>
        <v>0</v>
      </c>
      <c r="E14" s="51">
        <f>COUNTIF('🔍 Controls Checklist'!K6,"Partial Conformity")+COUNTIF('🔍 Controls Checklist'!K7,"Partial Conformity")</f>
        <v>0</v>
      </c>
      <c r="F14" s="51">
        <f>COUNTIF('🔍 Controls Checklist'!K6,"Non-Conformity")+COUNTIF('🔍 Controls Checklist'!K7,"Non-Conformity")</f>
        <v>0</v>
      </c>
      <c r="G14" s="51">
        <f>COUNTIF('🔍 Controls Checklist'!K6,"Not Applicable")+COUNTIF('🔍 Controls Checklist'!K7,"Not Applicable")</f>
        <v>0</v>
      </c>
      <c r="H14" s="51">
        <f>COUNTIF('🔍 Controls Checklist'!K6,"Not Assessed")+COUNTIF('🔍 Controls Checklist'!K7,"Not Assessed")</f>
        <v>2</v>
      </c>
      <c r="I14" s="52">
        <f>IFERROR((D14+0.5*E14)/(MAX(2-G14,1)),0)</f>
        <v>0</v>
      </c>
    </row>
    <row r="15" spans="2:13" ht="38" x14ac:dyDescent="0.2">
      <c r="B15" s="8" t="s">
        <v>66</v>
      </c>
      <c r="C15" s="49">
        <v>5</v>
      </c>
      <c r="D15" s="49">
        <f>COUNTIF('🔍 Controls Checklist'!K8,"Conformity")+COUNTIF('🔍 Controls Checklist'!K9,"Conformity")+COUNTIF('🔍 Controls Checklist'!K10,"Conformity")+COUNTIF('🔍 Controls Checklist'!K11,"Conformity")+COUNTIF('🔍 Controls Checklist'!K12,"Conformity")</f>
        <v>0</v>
      </c>
      <c r="E15" s="49">
        <f>COUNTIF('🔍 Controls Checklist'!K8,"Partial Conformity")+COUNTIF('🔍 Controls Checklist'!K9,"Partial Conformity")+COUNTIF('🔍 Controls Checklist'!K10,"Partial Conformity")+COUNTIF('🔍 Controls Checklist'!K11,"Partial Conformity")+COUNTIF('🔍 Controls Checklist'!K12,"Partial Conformity")</f>
        <v>0</v>
      </c>
      <c r="F15" s="49">
        <f>COUNTIF('🔍 Controls Checklist'!K8,"Non-Conformity")+COUNTIF('🔍 Controls Checklist'!K9,"Non-Conformity")+COUNTIF('🔍 Controls Checklist'!K10,"Non-Conformity")+COUNTIF('🔍 Controls Checklist'!K11,"Non-Conformity")+COUNTIF('🔍 Controls Checklist'!K12,"Non-Conformity")</f>
        <v>0</v>
      </c>
      <c r="G15" s="49">
        <f>COUNTIF('🔍 Controls Checklist'!K8,"Not Applicable")+COUNTIF('🔍 Controls Checklist'!K9,"Not Applicable")+COUNTIF('🔍 Controls Checklist'!K10,"Not Applicable")+COUNTIF('🔍 Controls Checklist'!K11,"Not Applicable")+COUNTIF('🔍 Controls Checklist'!K12,"Not Applicable")</f>
        <v>0</v>
      </c>
      <c r="H15" s="49">
        <f>COUNTIF('🔍 Controls Checklist'!K8,"Not Assessed")+COUNTIF('🔍 Controls Checklist'!K9,"Not Assessed")+COUNTIF('🔍 Controls Checklist'!K10,"Not Assessed")+COUNTIF('🔍 Controls Checklist'!K11,"Not Assessed")+COUNTIF('🔍 Controls Checklist'!K12,"Not Assessed")</f>
        <v>5</v>
      </c>
      <c r="I15" s="50">
        <f>IFERROR((D15+0.5*E15)/(MAX(5-G15,1)),0)</f>
        <v>0</v>
      </c>
    </row>
    <row r="16" spans="2:13" ht="57" x14ac:dyDescent="0.2">
      <c r="B16" s="9" t="s">
        <v>67</v>
      </c>
      <c r="C16" s="51">
        <v>4</v>
      </c>
      <c r="D16" s="51">
        <f>COUNTIF('🔍 Controls Checklist'!K13,"Conformity")+COUNTIF('🔍 Controls Checklist'!K14,"Conformity")+COUNTIF('🔍 Controls Checklist'!K15,"Conformity")+COUNTIF('🔍 Controls Checklist'!K16,"Conformity")</f>
        <v>0</v>
      </c>
      <c r="E16" s="51">
        <f>COUNTIF('🔍 Controls Checklist'!K13,"Partial Conformity")+COUNTIF('🔍 Controls Checklist'!K14,"Partial Conformity")+COUNTIF('🔍 Controls Checklist'!K15,"Partial Conformity")+COUNTIF('🔍 Controls Checklist'!K16,"Partial Conformity")</f>
        <v>0</v>
      </c>
      <c r="F16" s="51">
        <f>COUNTIF('🔍 Controls Checklist'!K13,"Non-Conformity")+COUNTIF('🔍 Controls Checklist'!K14,"Non-Conformity")+COUNTIF('🔍 Controls Checklist'!K15,"Non-Conformity")+COUNTIF('🔍 Controls Checklist'!K16,"Non-Conformity")</f>
        <v>0</v>
      </c>
      <c r="G16" s="51">
        <f>COUNTIF('🔍 Controls Checklist'!K13,"Not Applicable")+COUNTIF('🔍 Controls Checklist'!K14,"Not Applicable")+COUNTIF('🔍 Controls Checklist'!K15,"Not Applicable")+COUNTIF('🔍 Controls Checklist'!K16,"Not Applicable")</f>
        <v>0</v>
      </c>
      <c r="H16" s="51">
        <f>COUNTIF('🔍 Controls Checklist'!K13,"Not Assessed")+COUNTIF('🔍 Controls Checklist'!K14,"Not Assessed")+COUNTIF('🔍 Controls Checklist'!K15,"Not Assessed")+COUNTIF('🔍 Controls Checklist'!K16,"Not Assessed")</f>
        <v>4</v>
      </c>
      <c r="I16" s="52">
        <f>IFERROR((D16+0.5*E16)/(MAX(4-G16,1)),0)</f>
        <v>0</v>
      </c>
    </row>
    <row r="17" spans="2:9" ht="38" x14ac:dyDescent="0.2">
      <c r="B17" s="10" t="s">
        <v>68</v>
      </c>
      <c r="C17" s="49">
        <v>9</v>
      </c>
      <c r="D17" s="49">
        <f>COUNTIF('🔍 Controls Checklist'!K17,"Conformity")+COUNTIF('🔍 Controls Checklist'!K18,"Conformity")+COUNTIF('🔍 Controls Checklist'!K19,"Conformity")+COUNTIF('🔍 Controls Checklist'!K20,"Conformity")+COUNTIF('🔍 Controls Checklist'!K21,"Conformity")+COUNTIF('🔍 Controls Checklist'!K22,"Conformity")+COUNTIF('🔍 Controls Checklist'!K23,"Conformity")+COUNTIF('🔍 Controls Checklist'!K24,"Conformity")+COUNTIF('🔍 Controls Checklist'!K25,"Conformity")</f>
        <v>0</v>
      </c>
      <c r="E17" s="49">
        <f>COUNTIF('🔍 Controls Checklist'!K17,"Partial Conformity")+COUNTIF('🔍 Controls Checklist'!K18,"Partial Conformity")+COUNTIF('🔍 Controls Checklist'!K19,"Partial Conformity")+COUNTIF('🔍 Controls Checklist'!K20,"Partial Conformity")+COUNTIF('🔍 Controls Checklist'!K21,"Partial Conformity")+COUNTIF('🔍 Controls Checklist'!K22,"Partial Conformity")+COUNTIF('🔍 Controls Checklist'!K23,"Partial Conformity")+COUNTIF('🔍 Controls Checklist'!K24,"Partial Conformity")+COUNTIF('🔍 Controls Checklist'!K25,"Partial Conformity")</f>
        <v>0</v>
      </c>
      <c r="F17" s="49">
        <f>COUNTIF('🔍 Controls Checklist'!K17,"Non-Conformity")+COUNTIF('🔍 Controls Checklist'!K18,"Non-Conformity")+COUNTIF('🔍 Controls Checklist'!K19,"Non-Conformity")+COUNTIF('🔍 Controls Checklist'!K20,"Non-Conformity")+COUNTIF('🔍 Controls Checklist'!K21,"Non-Conformity")+COUNTIF('🔍 Controls Checklist'!K22,"Non-Conformity")+COUNTIF('🔍 Controls Checklist'!K23,"Non-Conformity")+COUNTIF('🔍 Controls Checklist'!K24,"Non-Conformity")+COUNTIF('🔍 Controls Checklist'!K25,"Non-Conformity")</f>
        <v>0</v>
      </c>
      <c r="G17" s="49">
        <f>COUNTIF('🔍 Controls Checklist'!K17,"Not Applicable")+COUNTIF('🔍 Controls Checklist'!K18,"Not Applicable")+COUNTIF('🔍 Controls Checklist'!K19,"Not Applicable")+COUNTIF('🔍 Controls Checklist'!K20,"Not Applicable")+COUNTIF('🔍 Controls Checklist'!K21,"Not Applicable")+COUNTIF('🔍 Controls Checklist'!K22,"Not Applicable")+COUNTIF('🔍 Controls Checklist'!K23,"Not Applicable")+COUNTIF('🔍 Controls Checklist'!K24,"Not Applicable")+COUNTIF('🔍 Controls Checklist'!K25,"Not Applicable")</f>
        <v>0</v>
      </c>
      <c r="H17" s="49">
        <f>COUNTIF('🔍 Controls Checklist'!K17,"Not Assessed")+COUNTIF('🔍 Controls Checklist'!K18,"Not Assessed")+COUNTIF('🔍 Controls Checklist'!K19,"Not Assessed")+COUNTIF('🔍 Controls Checklist'!K20,"Not Assessed")+COUNTIF('🔍 Controls Checklist'!K21,"Not Assessed")+COUNTIF('🔍 Controls Checklist'!K22,"Not Assessed")+COUNTIF('🔍 Controls Checklist'!K23,"Not Assessed")+COUNTIF('🔍 Controls Checklist'!K24,"Not Assessed")+COUNTIF('🔍 Controls Checklist'!K25,"Not Assessed")</f>
        <v>9</v>
      </c>
      <c r="I17" s="50">
        <f>IFERROR((D17+0.5*E17)/(MAX(9-G17,1)),0)</f>
        <v>0</v>
      </c>
    </row>
    <row r="18" spans="2:9" ht="38" x14ac:dyDescent="0.2">
      <c r="B18" s="11" t="s">
        <v>69</v>
      </c>
      <c r="C18" s="51">
        <v>5</v>
      </c>
      <c r="D18" s="51">
        <f>COUNTIF('🔍 Controls Checklist'!K26,"Conformity")+COUNTIF('🔍 Controls Checklist'!K27,"Conformity")+COUNTIF('🔍 Controls Checklist'!K28,"Conformity")+COUNTIF('🔍 Controls Checklist'!K29,"Conformity")+COUNTIF('🔍 Controls Checklist'!K30,"Conformity")</f>
        <v>0</v>
      </c>
      <c r="E18" s="51">
        <f>COUNTIF('🔍 Controls Checklist'!K26,"Partial Conformity")+COUNTIF('🔍 Controls Checklist'!K27,"Partial Conformity")+COUNTIF('🔍 Controls Checklist'!K28,"Partial Conformity")+COUNTIF('🔍 Controls Checklist'!K29,"Partial Conformity")+COUNTIF('🔍 Controls Checklist'!K30,"Partial Conformity")</f>
        <v>0</v>
      </c>
      <c r="F18" s="51">
        <f>COUNTIF('🔍 Controls Checklist'!K26,"Non-Conformity")+COUNTIF('🔍 Controls Checklist'!K27,"Non-Conformity")+COUNTIF('🔍 Controls Checklist'!K28,"Non-Conformity")+COUNTIF('🔍 Controls Checklist'!K29,"Non-Conformity")+COUNTIF('🔍 Controls Checklist'!K30,"Non-Conformity")</f>
        <v>0</v>
      </c>
      <c r="G18" s="51">
        <f>COUNTIF('🔍 Controls Checklist'!K26,"Not Applicable")+COUNTIF('🔍 Controls Checklist'!K27,"Not Applicable")+COUNTIF('🔍 Controls Checklist'!K28,"Not Applicable")+COUNTIF('🔍 Controls Checklist'!K29,"Not Applicable")+COUNTIF('🔍 Controls Checklist'!K30,"Not Applicable")</f>
        <v>0</v>
      </c>
      <c r="H18" s="51">
        <f>COUNTIF('🔍 Controls Checklist'!K26,"Not Assessed")+COUNTIF('🔍 Controls Checklist'!K27,"Not Assessed")+COUNTIF('🔍 Controls Checklist'!K28,"Not Assessed")+COUNTIF('🔍 Controls Checklist'!K29,"Not Assessed")+COUNTIF('🔍 Controls Checklist'!K30,"Not Assessed")</f>
        <v>5</v>
      </c>
      <c r="I18" s="52">
        <f>IFERROR((D18+0.5*E18)/(MAX(5-G18,1)),0)</f>
        <v>0</v>
      </c>
    </row>
    <row r="19" spans="2:9" ht="57" x14ac:dyDescent="0.2">
      <c r="B19" s="12" t="s">
        <v>70</v>
      </c>
      <c r="C19" s="49">
        <v>4</v>
      </c>
      <c r="D19" s="49">
        <f>COUNTIF('🔍 Controls Checklist'!K31,"Conformity")+COUNTIF('🔍 Controls Checklist'!K32,"Conformity")+COUNTIF('🔍 Controls Checklist'!K33,"Conformity")+COUNTIF('🔍 Controls Checklist'!K34,"Conformity")</f>
        <v>0</v>
      </c>
      <c r="E19" s="49">
        <f>COUNTIF('🔍 Controls Checklist'!K31,"Partial Conformity")+COUNTIF('🔍 Controls Checklist'!K32,"Partial Conformity")+COUNTIF('🔍 Controls Checklist'!K33,"Partial Conformity")+COUNTIF('🔍 Controls Checklist'!K34,"Partial Conformity")</f>
        <v>0</v>
      </c>
      <c r="F19" s="49">
        <f>COUNTIF('🔍 Controls Checklist'!K31,"Non-Conformity")+COUNTIF('🔍 Controls Checklist'!K32,"Non-Conformity")+COUNTIF('🔍 Controls Checklist'!K33,"Non-Conformity")+COUNTIF('🔍 Controls Checklist'!K34,"Non-Conformity")</f>
        <v>0</v>
      </c>
      <c r="G19" s="49">
        <f>COUNTIF('🔍 Controls Checklist'!K31,"Not Applicable")+COUNTIF('🔍 Controls Checklist'!K32,"Not Applicable")+COUNTIF('🔍 Controls Checklist'!K33,"Not Applicable")+COUNTIF('🔍 Controls Checklist'!K34,"Not Applicable")</f>
        <v>0</v>
      </c>
      <c r="H19" s="49">
        <f>COUNTIF('🔍 Controls Checklist'!K31,"Not Assessed")+COUNTIF('🔍 Controls Checklist'!K32,"Not Assessed")+COUNTIF('🔍 Controls Checklist'!K33,"Not Assessed")+COUNTIF('🔍 Controls Checklist'!K34,"Not Assessed")</f>
        <v>4</v>
      </c>
      <c r="I19" s="50">
        <f>IFERROR((D19+0.5*E19)/(MAX(4-G19,1)),0)</f>
        <v>0</v>
      </c>
    </row>
    <row r="20" spans="2:9" ht="38" x14ac:dyDescent="0.2">
      <c r="B20" s="13" t="s">
        <v>71</v>
      </c>
      <c r="C20" s="51">
        <v>3</v>
      </c>
      <c r="D20" s="51">
        <f>COUNTIF('🔍 Controls Checklist'!K35,"Conformity")+COUNTIF('🔍 Controls Checklist'!K36,"Conformity")+COUNTIF('🔍 Controls Checklist'!K37,"Conformity")</f>
        <v>0</v>
      </c>
      <c r="E20" s="51">
        <f>COUNTIF('🔍 Controls Checklist'!K35,"Partial Conformity")+COUNTIF('🔍 Controls Checklist'!K36,"Partial Conformity")+COUNTIF('🔍 Controls Checklist'!K37,"Partial Conformity")</f>
        <v>0</v>
      </c>
      <c r="F20" s="51">
        <f>COUNTIF('🔍 Controls Checklist'!K35,"Non-Conformity")+COUNTIF('🔍 Controls Checklist'!K36,"Non-Conformity")+COUNTIF('🔍 Controls Checklist'!K37,"Non-Conformity")</f>
        <v>0</v>
      </c>
      <c r="G20" s="51">
        <f>COUNTIF('🔍 Controls Checklist'!K35,"Not Applicable")+COUNTIF('🔍 Controls Checklist'!K36,"Not Applicable")+COUNTIF('🔍 Controls Checklist'!K37,"Not Applicable")</f>
        <v>0</v>
      </c>
      <c r="H20" s="51">
        <f>COUNTIF('🔍 Controls Checklist'!K35,"Not Assessed")+COUNTIF('🔍 Controls Checklist'!K36,"Not Assessed")+COUNTIF('🔍 Controls Checklist'!K37,"Not Assessed")</f>
        <v>3</v>
      </c>
      <c r="I20" s="52">
        <f>IFERROR((D20+0.5*E20)/(MAX(3-G20,1)),0)</f>
        <v>0</v>
      </c>
    </row>
    <row r="21" spans="2:9" ht="57" x14ac:dyDescent="0.2">
      <c r="B21" s="14" t="s">
        <v>72</v>
      </c>
      <c r="C21" s="49">
        <v>3</v>
      </c>
      <c r="D21" s="49">
        <f>COUNTIF('🔍 Controls Checklist'!K38,"Conformity")+COUNTIF('🔍 Controls Checklist'!K39,"Conformity")+COUNTIF('🔍 Controls Checklist'!K40,"Conformity")</f>
        <v>0</v>
      </c>
      <c r="E21" s="49">
        <f>COUNTIF('🔍 Controls Checklist'!K38,"Partial Conformity")+COUNTIF('🔍 Controls Checklist'!K39,"Partial Conformity")+COUNTIF('🔍 Controls Checklist'!K40,"Partial Conformity")</f>
        <v>0</v>
      </c>
      <c r="F21" s="49">
        <f>COUNTIF('🔍 Controls Checklist'!K38,"Non-Conformity")+COUNTIF('🔍 Controls Checklist'!K39,"Non-Conformity")+COUNTIF('🔍 Controls Checklist'!K40,"Non-Conformity")</f>
        <v>0</v>
      </c>
      <c r="G21" s="49">
        <f>COUNTIF('🔍 Controls Checklist'!K38,"Not Applicable")+COUNTIF('🔍 Controls Checklist'!K39,"Not Applicable")+COUNTIF('🔍 Controls Checklist'!K40,"Not Applicable")</f>
        <v>0</v>
      </c>
      <c r="H21" s="49">
        <f>COUNTIF('🔍 Controls Checklist'!K38,"Not Assessed")+COUNTIF('🔍 Controls Checklist'!K39,"Not Assessed")+COUNTIF('🔍 Controls Checklist'!K40,"Not Assessed")</f>
        <v>3</v>
      </c>
      <c r="I21" s="50">
        <f>IFERROR((D21+0.5*E21)/(MAX(3-G21,1)),0)</f>
        <v>0</v>
      </c>
    </row>
    <row r="22" spans="2:9" ht="21.75" customHeight="1" x14ac:dyDescent="0.2">
      <c r="B22" s="53" t="s">
        <v>73</v>
      </c>
      <c r="C22" s="54">
        <f>38</f>
        <v>38</v>
      </c>
      <c r="D22" s="54">
        <f>SUM(D13:D21)</f>
        <v>0</v>
      </c>
      <c r="E22" s="54">
        <f>SUM(E13:E21)</f>
        <v>0</v>
      </c>
      <c r="F22" s="54">
        <f>SUM(F13:F21)</f>
        <v>0</v>
      </c>
      <c r="G22" s="54">
        <f>SUM(G13:G21)</f>
        <v>0</v>
      </c>
      <c r="H22" s="54">
        <f>SUM(H13:H21)</f>
        <v>38</v>
      </c>
      <c r="I22" s="55">
        <f>E9</f>
        <v>0</v>
      </c>
    </row>
    <row r="24" spans="2:9" ht="18" customHeight="1" x14ac:dyDescent="0.2">
      <c r="B24" s="59" t="s">
        <v>74</v>
      </c>
      <c r="C24" s="59"/>
    </row>
    <row r="25" spans="2:9" ht="15.75" customHeight="1" x14ac:dyDescent="0.2">
      <c r="B25" s="72" t="s">
        <v>75</v>
      </c>
      <c r="C25" s="72"/>
    </row>
    <row r="26" spans="2:9" ht="15.75" customHeight="1" x14ac:dyDescent="0.2">
      <c r="B26" s="73" t="s">
        <v>76</v>
      </c>
      <c r="C26" s="73"/>
    </row>
    <row r="27" spans="2:9" ht="15.75" customHeight="1" x14ac:dyDescent="0.2">
      <c r="B27" s="74" t="s">
        <v>77</v>
      </c>
      <c r="C27" s="74"/>
    </row>
    <row r="28" spans="2:9" ht="15.75" customHeight="1" x14ac:dyDescent="0.2">
      <c r="B28" s="75" t="s">
        <v>78</v>
      </c>
      <c r="C28" s="75"/>
    </row>
    <row r="29" spans="2:9" ht="15.75" customHeight="1" x14ac:dyDescent="0.2">
      <c r="B29" s="70" t="s">
        <v>79</v>
      </c>
      <c r="C29" s="70"/>
    </row>
    <row r="31" spans="2:9" ht="36" customHeight="1" x14ac:dyDescent="0.2">
      <c r="B31" s="71" t="s">
        <v>80</v>
      </c>
      <c r="C31" s="71"/>
      <c r="D31" s="71"/>
      <c r="E31" s="71"/>
      <c r="F31" s="71"/>
      <c r="G31" s="71"/>
      <c r="H31" s="71"/>
      <c r="I31" s="71"/>
    </row>
  </sheetData>
  <mergeCells count="12">
    <mergeCell ref="B1:M1"/>
    <mergeCell ref="B2:M2"/>
    <mergeCell ref="B9:D9"/>
    <mergeCell ref="E9:G9"/>
    <mergeCell ref="B11:I11"/>
    <mergeCell ref="B29:C29"/>
    <mergeCell ref="B31:I31"/>
    <mergeCell ref="B24:C24"/>
    <mergeCell ref="B25:C25"/>
    <mergeCell ref="B26:C26"/>
    <mergeCell ref="B27:C27"/>
    <mergeCell ref="B28:C2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 Summary</vt:lpstr>
      <vt:lpstr>🔍 Controls Checklist</vt:lpstr>
      <vt:lpstr>📊 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Nirav Parikh</dc:creator>
  <cp:keywords/>
  <dc:description/>
  <cp:lastModifiedBy>Office</cp:lastModifiedBy>
  <cp:revision>0</cp:revision>
  <dcterms:created xsi:type="dcterms:W3CDTF">2026-05-16T10:21:03Z</dcterms:created>
  <dcterms:modified xsi:type="dcterms:W3CDTF">2026-05-17T09:36:53Z</dcterms:modified>
  <cp:category/>
  <dc:language>en-US</dc:language>
</cp:coreProperties>
</file>